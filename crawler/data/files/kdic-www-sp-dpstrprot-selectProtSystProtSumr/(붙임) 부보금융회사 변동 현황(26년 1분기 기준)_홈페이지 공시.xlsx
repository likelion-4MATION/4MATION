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kdic\Desktop\공시 작성\"/>
    </mc:Choice>
  </mc:AlternateContent>
  <xr:revisionPtr revIDLastSave="0" documentId="13_ncr:1_{ABA49475-95EF-4EB5-892C-129CC6BA2A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은행" sheetId="3" r:id="rId1"/>
    <sheet name="금융투자" sheetId="4" r:id="rId2"/>
    <sheet name="종금" sheetId="8" r:id="rId3"/>
    <sheet name="생명보험" sheetId="5" r:id="rId4"/>
    <sheet name="손해보험" sheetId="6" r:id="rId5"/>
    <sheet name="저축은행" sheetId="7" r:id="rId6"/>
  </sheets>
  <externalReferences>
    <externalReference r:id="rId7"/>
    <externalReference r:id="rId8"/>
  </externalReferences>
  <definedNames>
    <definedName name="_xlnm._FilterDatabase" localSheetId="1" hidden="1">금융투자!$A$11:$D$34</definedName>
    <definedName name="_xlnm._FilterDatabase" localSheetId="3" hidden="1">생명보험!$A$11:$D$13</definedName>
    <definedName name="_xlnm._FilterDatabase" localSheetId="4" hidden="1">손해보험!$A$11:$D$20</definedName>
    <definedName name="_xlnm._FilterDatabase" localSheetId="0" hidden="1">은행!$A$11:$D$21</definedName>
    <definedName name="_xlnm._FilterDatabase" localSheetId="5" hidden="1">저축은행!$A$11:$D$13</definedName>
    <definedName name="_xlnm._FilterDatabase" localSheetId="2" hidden="1">종금!$A$11:$D$11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8" i="7" l="1"/>
  <c r="AU8" i="6"/>
  <c r="AU8" i="5"/>
  <c r="AU5" i="8"/>
  <c r="AU8" i="8" s="1"/>
  <c r="AV8" i="4"/>
  <c r="AU8" i="3"/>
  <c r="AT8" i="3" l="1"/>
  <c r="AU8" i="4"/>
  <c r="AT8" i="8"/>
  <c r="AT5" i="8"/>
  <c r="AT8" i="5"/>
  <c r="AT8" i="7"/>
  <c r="AT8" i="6"/>
  <c r="AS8" i="3"/>
  <c r="AT8" i="4"/>
  <c r="AS5" i="8"/>
  <c r="AS8" i="8" s="1"/>
  <c r="AS8" i="5"/>
  <c r="AS8" i="7"/>
  <c r="AS8" i="6"/>
  <c r="AR8" i="7"/>
  <c r="AR8" i="6"/>
  <c r="AR8" i="5"/>
  <c r="AR5" i="8"/>
  <c r="AR8" i="8" s="1"/>
  <c r="AS8" i="4"/>
  <c r="AR8" i="3"/>
  <c r="AQ8" i="7"/>
  <c r="AQ8" i="6"/>
  <c r="AQ8" i="5"/>
  <c r="AR8" i="4"/>
  <c r="AQ8" i="3"/>
  <c r="B8" i="7" l="1"/>
  <c r="C5" i="7"/>
  <c r="C8" i="7" s="1"/>
  <c r="D5" i="7" s="1"/>
  <c r="D8" i="7" s="1"/>
  <c r="E5" i="7" s="1"/>
  <c r="E8" i="7" s="1"/>
  <c r="F5" i="7" s="1"/>
  <c r="F8" i="7" s="1"/>
  <c r="G5" i="7" s="1"/>
  <c r="G8" i="7" s="1"/>
  <c r="H5" i="7" s="1"/>
  <c r="H8" i="7" s="1"/>
  <c r="I5" i="7" s="1"/>
  <c r="I8" i="7" s="1"/>
  <c r="J5" i="7" s="1"/>
  <c r="J8" i="7" s="1"/>
  <c r="K5" i="7" s="1"/>
  <c r="K8" i="7" s="1"/>
  <c r="L5" i="7" s="1"/>
  <c r="L8" i="7" s="1"/>
  <c r="M5" i="7" s="1"/>
  <c r="M8" i="7" s="1"/>
  <c r="N5" i="7" s="1"/>
  <c r="N8" i="7" s="1"/>
  <c r="O5" i="7" s="1"/>
  <c r="O8" i="7" s="1"/>
  <c r="P5" i="7" s="1"/>
  <c r="P8" i="7" s="1"/>
  <c r="Q5" i="7" s="1"/>
  <c r="Q8" i="7" s="1"/>
  <c r="R5" i="7" s="1"/>
  <c r="R8" i="7" s="1"/>
  <c r="S5" i="7" s="1"/>
  <c r="S8" i="7" s="1"/>
  <c r="T5" i="7" s="1"/>
  <c r="T8" i="7" s="1"/>
  <c r="U5" i="7" s="1"/>
  <c r="U8" i="7" s="1"/>
  <c r="V5" i="7" s="1"/>
  <c r="V8" i="7" s="1"/>
  <c r="W5" i="7" s="1"/>
  <c r="W8" i="7" s="1"/>
  <c r="X5" i="7" s="1"/>
  <c r="X8" i="7" s="1"/>
  <c r="Y5" i="7" s="1"/>
  <c r="Y8" i="7" s="1"/>
  <c r="Z5" i="7" s="1"/>
  <c r="Z8" i="7" s="1"/>
  <c r="AA5" i="7" s="1"/>
  <c r="AA8" i="7" s="1"/>
  <c r="AB5" i="7" s="1"/>
  <c r="AB8" i="7" s="1"/>
  <c r="AC5" i="7" s="1"/>
  <c r="AC8" i="7" s="1"/>
  <c r="AD5" i="7" s="1"/>
  <c r="AD8" i="7" s="1"/>
  <c r="AE5" i="7" s="1"/>
  <c r="AE8" i="7" s="1"/>
  <c r="AF5" i="7" s="1"/>
  <c r="AF8" i="7" s="1"/>
  <c r="AG5" i="7" s="1"/>
  <c r="AG8" i="7" s="1"/>
  <c r="AH5" i="7" s="1"/>
  <c r="AH8" i="7" s="1"/>
  <c r="AI5" i="7" s="1"/>
  <c r="AI8" i="7" s="1"/>
  <c r="AJ5" i="7" s="1"/>
  <c r="AJ8" i="7" s="1"/>
  <c r="AK5" i="7" s="1"/>
  <c r="AK8" i="7" s="1"/>
  <c r="AL5" i="7" s="1"/>
  <c r="AL8" i="7" s="1"/>
  <c r="AM5" i="7" s="1"/>
  <c r="AM8" i="7" s="1"/>
  <c r="AN5" i="7" s="1"/>
  <c r="AN8" i="7" s="1"/>
  <c r="AO5" i="7" s="1"/>
  <c r="AO8" i="7" s="1"/>
  <c r="AP5" i="7" s="1"/>
  <c r="AP8" i="7" s="1"/>
  <c r="B8" i="6"/>
  <c r="C5" i="6" s="1"/>
  <c r="C8" i="6" s="1"/>
  <c r="D5" i="6" s="1"/>
  <c r="D8" i="6" s="1"/>
  <c r="E5" i="6" s="1"/>
  <c r="E8" i="6" s="1"/>
  <c r="F5" i="6" s="1"/>
  <c r="F8" i="6" s="1"/>
  <c r="G5" i="6" s="1"/>
  <c r="G8" i="6" s="1"/>
  <c r="H5" i="6" s="1"/>
  <c r="H8" i="6" s="1"/>
  <c r="I5" i="6" s="1"/>
  <c r="I8" i="6" s="1"/>
  <c r="J5" i="6" s="1"/>
  <c r="J8" i="6" s="1"/>
  <c r="K5" i="6" s="1"/>
  <c r="K8" i="6" s="1"/>
  <c r="L5" i="6" s="1"/>
  <c r="L8" i="6" s="1"/>
  <c r="M5" i="6" s="1"/>
  <c r="M8" i="6" s="1"/>
  <c r="N5" i="6" s="1"/>
  <c r="N8" i="6" s="1"/>
  <c r="O5" i="6" s="1"/>
  <c r="O8" i="6" s="1"/>
  <c r="P5" i="6" s="1"/>
  <c r="P8" i="6" s="1"/>
  <c r="Q5" i="6" s="1"/>
  <c r="Q8" i="6" s="1"/>
  <c r="R5" i="6" s="1"/>
  <c r="R8" i="6" s="1"/>
  <c r="S5" i="6" s="1"/>
  <c r="S8" i="6" s="1"/>
  <c r="T5" i="6" s="1"/>
  <c r="T8" i="6" s="1"/>
  <c r="U5" i="6" s="1"/>
  <c r="U8" i="6" s="1"/>
  <c r="V5" i="6" s="1"/>
  <c r="V8" i="6" s="1"/>
  <c r="W5" i="6" s="1"/>
  <c r="W8" i="6" s="1"/>
  <c r="X5" i="6" s="1"/>
  <c r="X8" i="6" s="1"/>
  <c r="Y5" i="6" s="1"/>
  <c r="Y8" i="6" s="1"/>
  <c r="Z5" i="6" s="1"/>
  <c r="Z8" i="6" s="1"/>
  <c r="AA5" i="6" s="1"/>
  <c r="AA8" i="6" s="1"/>
  <c r="AB5" i="6" s="1"/>
  <c r="AB8" i="6" s="1"/>
  <c r="AC5" i="6" s="1"/>
  <c r="AC8" i="6" s="1"/>
  <c r="AD5" i="6" s="1"/>
  <c r="AD8" i="6" s="1"/>
  <c r="AE5" i="6" s="1"/>
  <c r="AE8" i="6" s="1"/>
  <c r="AF5" i="6" s="1"/>
  <c r="AF8" i="6" s="1"/>
  <c r="AG5" i="6" s="1"/>
  <c r="AG8" i="6" s="1"/>
  <c r="AH5" i="6" s="1"/>
  <c r="AH8" i="6" s="1"/>
  <c r="AI5" i="6" s="1"/>
  <c r="AI8" i="6" s="1"/>
  <c r="AJ5" i="6" s="1"/>
  <c r="AJ8" i="6" s="1"/>
  <c r="AK5" i="6" s="1"/>
  <c r="AK8" i="6" s="1"/>
  <c r="AL5" i="6" s="1"/>
  <c r="AL8" i="6" s="1"/>
  <c r="AM5" i="6" s="1"/>
  <c r="AM8" i="6" s="1"/>
  <c r="AN5" i="6" s="1"/>
  <c r="AN8" i="6" s="1"/>
  <c r="AO5" i="6" s="1"/>
  <c r="AO8" i="6" s="1"/>
  <c r="AP5" i="6" s="1"/>
  <c r="AP8" i="6" s="1"/>
  <c r="B8" i="5"/>
  <c r="C5" i="5"/>
  <c r="C8" i="5" s="1"/>
  <c r="D5" i="5" s="1"/>
  <c r="D8" i="5" s="1"/>
  <c r="E5" i="5" s="1"/>
  <c r="E8" i="5" s="1"/>
  <c r="F5" i="5" s="1"/>
  <c r="F8" i="5" s="1"/>
  <c r="G5" i="5" s="1"/>
  <c r="G8" i="5" s="1"/>
  <c r="H5" i="5" s="1"/>
  <c r="H8" i="5" s="1"/>
  <c r="I5" i="5" s="1"/>
  <c r="I8" i="5" s="1"/>
  <c r="J5" i="5" s="1"/>
  <c r="J8" i="5" s="1"/>
  <c r="K5" i="5" s="1"/>
  <c r="K8" i="5" s="1"/>
  <c r="L5" i="5" s="1"/>
  <c r="L8" i="5" s="1"/>
  <c r="M5" i="5" s="1"/>
  <c r="M8" i="5" s="1"/>
  <c r="N5" i="5" s="1"/>
  <c r="N8" i="5" s="1"/>
  <c r="O5" i="5" s="1"/>
  <c r="O8" i="5" s="1"/>
  <c r="P5" i="5" s="1"/>
  <c r="P8" i="5" s="1"/>
  <c r="Q5" i="5" s="1"/>
  <c r="Q8" i="5" s="1"/>
  <c r="R5" i="5" s="1"/>
  <c r="R8" i="5" s="1"/>
  <c r="S5" i="5" s="1"/>
  <c r="S8" i="5" s="1"/>
  <c r="T5" i="5" s="1"/>
  <c r="T8" i="5" s="1"/>
  <c r="U5" i="5" s="1"/>
  <c r="U8" i="5" s="1"/>
  <c r="V5" i="5" s="1"/>
  <c r="V8" i="5" s="1"/>
  <c r="W5" i="5" s="1"/>
  <c r="W8" i="5" s="1"/>
  <c r="X5" i="5" s="1"/>
  <c r="X8" i="5" s="1"/>
  <c r="Y5" i="5" s="1"/>
  <c r="Y8" i="5" s="1"/>
  <c r="Z5" i="5" s="1"/>
  <c r="Z8" i="5" s="1"/>
  <c r="AA5" i="5" s="1"/>
  <c r="AA8" i="5" s="1"/>
  <c r="AB5" i="5" s="1"/>
  <c r="AB8" i="5" s="1"/>
  <c r="AC5" i="5" s="1"/>
  <c r="AC8" i="5" s="1"/>
  <c r="AD5" i="5" s="1"/>
  <c r="AD8" i="5" s="1"/>
  <c r="AE5" i="5" s="1"/>
  <c r="AE8" i="5" s="1"/>
  <c r="AF5" i="5" s="1"/>
  <c r="AF8" i="5" s="1"/>
  <c r="AG5" i="5" s="1"/>
  <c r="AG8" i="5" s="1"/>
  <c r="AH5" i="5" s="1"/>
  <c r="AH8" i="5" s="1"/>
  <c r="AI5" i="5" s="1"/>
  <c r="AI8" i="5" s="1"/>
  <c r="AJ5" i="5" s="1"/>
  <c r="AJ8" i="5" s="1"/>
  <c r="AK5" i="5" s="1"/>
  <c r="AK8" i="5" s="1"/>
  <c r="AL5" i="5" s="1"/>
  <c r="AL8" i="5" s="1"/>
  <c r="AM5" i="5" s="1"/>
  <c r="AM8" i="5" s="1"/>
  <c r="AN5" i="5" s="1"/>
  <c r="AN8" i="5" s="1"/>
  <c r="AO5" i="5" s="1"/>
  <c r="AO8" i="5" s="1"/>
  <c r="AP5" i="5" s="1"/>
  <c r="AP8" i="5" s="1"/>
  <c r="B8" i="8"/>
  <c r="C5" i="8"/>
  <c r="C8" i="8" s="1"/>
  <c r="D5" i="8" s="1"/>
  <c r="D8" i="8" s="1"/>
  <c r="E5" i="8" s="1"/>
  <c r="E8" i="8" s="1"/>
  <c r="F5" i="8" s="1"/>
  <c r="F8" i="8" s="1"/>
  <c r="G5" i="8" s="1"/>
  <c r="G8" i="8" s="1"/>
  <c r="H5" i="8" s="1"/>
  <c r="H8" i="8" s="1"/>
  <c r="I5" i="8" s="1"/>
  <c r="I8" i="8" s="1"/>
  <c r="J5" i="8" s="1"/>
  <c r="J8" i="8" s="1"/>
  <c r="K5" i="8" s="1"/>
  <c r="K8" i="8" s="1"/>
  <c r="L5" i="8" s="1"/>
  <c r="L8" i="8" s="1"/>
  <c r="M5" i="8" s="1"/>
  <c r="M8" i="8" s="1"/>
  <c r="N5" i="8" s="1"/>
  <c r="N8" i="8" s="1"/>
  <c r="O5" i="8" s="1"/>
  <c r="O8" i="8" s="1"/>
  <c r="P5" i="8" s="1"/>
  <c r="P8" i="8" s="1"/>
  <c r="Q5" i="8" s="1"/>
  <c r="Q8" i="8" s="1"/>
  <c r="R5" i="8" s="1"/>
  <c r="R8" i="8" s="1"/>
  <c r="S5" i="8" s="1"/>
  <c r="S8" i="8" s="1"/>
  <c r="T5" i="8" s="1"/>
  <c r="T8" i="8" s="1"/>
  <c r="U5" i="8" s="1"/>
  <c r="U8" i="8" s="1"/>
  <c r="V5" i="8" s="1"/>
  <c r="V8" i="8" s="1"/>
  <c r="W5" i="8" s="1"/>
  <c r="W8" i="8" s="1"/>
  <c r="X5" i="8" s="1"/>
  <c r="X8" i="8" s="1"/>
  <c r="Y5" i="8" s="1"/>
  <c r="Y8" i="8" s="1"/>
  <c r="Z5" i="8" s="1"/>
  <c r="Z8" i="8" s="1"/>
  <c r="AA5" i="8" s="1"/>
  <c r="AA8" i="8" s="1"/>
  <c r="AB5" i="8" s="1"/>
  <c r="AB8" i="8" s="1"/>
  <c r="AC5" i="8" s="1"/>
  <c r="AC8" i="8" s="1"/>
  <c r="AD5" i="8" s="1"/>
  <c r="AD8" i="8" s="1"/>
  <c r="AE5" i="8" s="1"/>
  <c r="AE8" i="8" s="1"/>
  <c r="AF5" i="8" s="1"/>
  <c r="AF8" i="8" s="1"/>
  <c r="AG5" i="8" s="1"/>
  <c r="AG8" i="8" s="1"/>
  <c r="AH5" i="8" s="1"/>
  <c r="AH8" i="8" s="1"/>
  <c r="AI5" i="8" s="1"/>
  <c r="AI8" i="8" s="1"/>
  <c r="AJ5" i="8" s="1"/>
  <c r="AJ8" i="8" s="1"/>
  <c r="AK5" i="8" s="1"/>
  <c r="AK8" i="8" s="1"/>
  <c r="AL5" i="8" s="1"/>
  <c r="AL8" i="8" s="1"/>
  <c r="AM5" i="8" s="1"/>
  <c r="AM8" i="8" s="1"/>
  <c r="AN5" i="8" s="1"/>
  <c r="AN8" i="8" s="1"/>
  <c r="AO5" i="8" s="1"/>
  <c r="AO8" i="8" s="1"/>
  <c r="AP5" i="8" s="1"/>
  <c r="AP8" i="8" s="1"/>
  <c r="AQ5" i="8" s="1"/>
  <c r="AQ8" i="8" s="1"/>
  <c r="B8" i="4"/>
  <c r="C5" i="4" s="1"/>
  <c r="C8" i="4" s="1"/>
  <c r="D5" i="4" s="1"/>
  <c r="D8" i="4" s="1"/>
  <c r="E5" i="4" s="1"/>
  <c r="E8" i="4" s="1"/>
  <c r="F5" i="4" s="1"/>
  <c r="F8" i="4" s="1"/>
  <c r="G5" i="4" s="1"/>
  <c r="G8" i="4" s="1"/>
  <c r="H5" i="4" s="1"/>
  <c r="H8" i="4" s="1"/>
  <c r="I5" i="4" s="1"/>
  <c r="I8" i="4" s="1"/>
  <c r="J5" i="4" s="1"/>
  <c r="J8" i="4" s="1"/>
  <c r="K5" i="4" s="1"/>
  <c r="K8" i="4" s="1"/>
  <c r="L5" i="4" s="1"/>
  <c r="L8" i="4" s="1"/>
  <c r="M5" i="4" s="1"/>
  <c r="M8" i="4" s="1"/>
  <c r="N5" i="4" s="1"/>
  <c r="N8" i="4" s="1"/>
  <c r="O5" i="4" s="1"/>
  <c r="O8" i="4" s="1"/>
  <c r="P5" i="4" s="1"/>
  <c r="P8" i="4" s="1"/>
  <c r="Q5" i="4" s="1"/>
  <c r="Q8" i="4" s="1"/>
  <c r="R5" i="4" s="1"/>
  <c r="R8" i="4" s="1"/>
  <c r="S5" i="4" s="1"/>
  <c r="S8" i="4" s="1"/>
  <c r="T5" i="4" s="1"/>
  <c r="T8" i="4" s="1"/>
  <c r="U5" i="4" s="1"/>
  <c r="U8" i="4" s="1"/>
  <c r="V5" i="4" s="1"/>
  <c r="V8" i="4" s="1"/>
  <c r="W5" i="4" s="1"/>
  <c r="W8" i="4" s="1"/>
  <c r="X5" i="4" s="1"/>
  <c r="X8" i="4" s="1"/>
  <c r="Y5" i="4" s="1"/>
  <c r="Y8" i="4" s="1"/>
  <c r="Z5" i="4" s="1"/>
  <c r="Z8" i="4" s="1"/>
  <c r="AA5" i="4" s="1"/>
  <c r="AA8" i="4" s="1"/>
  <c r="AB5" i="4" s="1"/>
  <c r="AB8" i="4" s="1"/>
  <c r="AC5" i="4" s="1"/>
  <c r="AC8" i="4" s="1"/>
  <c r="AD5" i="4" s="1"/>
  <c r="AD8" i="4" s="1"/>
  <c r="AE5" i="4" s="1"/>
  <c r="AE8" i="4" s="1"/>
  <c r="AF5" i="4" s="1"/>
  <c r="AF8" i="4" s="1"/>
  <c r="AG5" i="4" s="1"/>
  <c r="AG8" i="4" s="1"/>
  <c r="AH5" i="4" s="1"/>
  <c r="AH8" i="4" s="1"/>
  <c r="AI5" i="4" s="1"/>
  <c r="AI8" i="4" s="1"/>
  <c r="AJ5" i="4" s="1"/>
  <c r="AJ8" i="4" s="1"/>
  <c r="AK5" i="4" s="1"/>
  <c r="AK8" i="4" s="1"/>
  <c r="AL5" i="4" s="1"/>
  <c r="AL8" i="4" s="1"/>
  <c r="AM5" i="4" s="1"/>
  <c r="AM8" i="4" s="1"/>
  <c r="AN5" i="4" s="1"/>
  <c r="AN8" i="4" s="1"/>
  <c r="AO5" i="4" s="1"/>
  <c r="AO8" i="4" s="1"/>
  <c r="AP5" i="4" s="1"/>
  <c r="AP8" i="4" s="1"/>
  <c r="AQ5" i="4" s="1"/>
  <c r="AQ8" i="4" s="1"/>
  <c r="B8" i="3"/>
  <c r="C5" i="3"/>
  <c r="C8" i="3" s="1"/>
  <c r="D5" i="3" s="1"/>
  <c r="D8" i="3" s="1"/>
  <c r="E5" i="3" s="1"/>
  <c r="E8" i="3" s="1"/>
  <c r="F5" i="3" s="1"/>
  <c r="F8" i="3" s="1"/>
  <c r="G5" i="3" s="1"/>
  <c r="G8" i="3" s="1"/>
  <c r="H5" i="3" s="1"/>
  <c r="H8" i="3" s="1"/>
  <c r="I5" i="3" s="1"/>
  <c r="I8" i="3" s="1"/>
  <c r="J5" i="3" s="1"/>
  <c r="J8" i="3" s="1"/>
  <c r="K5" i="3" s="1"/>
  <c r="K8" i="3" s="1"/>
  <c r="L5" i="3" s="1"/>
  <c r="L8" i="3" s="1"/>
  <c r="M5" i="3" s="1"/>
  <c r="M8" i="3" s="1"/>
  <c r="N5" i="3" s="1"/>
  <c r="N8" i="3" s="1"/>
  <c r="O5" i="3" s="1"/>
  <c r="O8" i="3" s="1"/>
  <c r="P5" i="3" s="1"/>
  <c r="P8" i="3" s="1"/>
  <c r="Q5" i="3" s="1"/>
  <c r="Q8" i="3" s="1"/>
  <c r="R5" i="3" s="1"/>
  <c r="R8" i="3" s="1"/>
  <c r="S5" i="3" s="1"/>
  <c r="S8" i="3" s="1"/>
  <c r="T5" i="3" s="1"/>
  <c r="T8" i="3" s="1"/>
  <c r="U5" i="3" s="1"/>
  <c r="U8" i="3" s="1"/>
  <c r="V5" i="3" s="1"/>
  <c r="V8" i="3" s="1"/>
  <c r="W5" i="3" s="1"/>
  <c r="W8" i="3" s="1"/>
  <c r="X5" i="3" s="1"/>
  <c r="X8" i="3" s="1"/>
  <c r="Y5" i="3" s="1"/>
  <c r="Y8" i="3" s="1"/>
  <c r="Z5" i="3" s="1"/>
  <c r="Z8" i="3" s="1"/>
  <c r="AA5" i="3" s="1"/>
  <c r="AA8" i="3" s="1"/>
  <c r="AB5" i="3" s="1"/>
  <c r="AB8" i="3" s="1"/>
  <c r="AC5" i="3" s="1"/>
  <c r="AC8" i="3" s="1"/>
  <c r="AD5" i="3" s="1"/>
  <c r="AD8" i="3" s="1"/>
  <c r="AE5" i="3" s="1"/>
  <c r="AE8" i="3" s="1"/>
  <c r="AF5" i="3" s="1"/>
  <c r="AF8" i="3" s="1"/>
  <c r="AG5" i="3" s="1"/>
  <c r="AG8" i="3" s="1"/>
  <c r="AH5" i="3" s="1"/>
  <c r="AH8" i="3" s="1"/>
  <c r="AI5" i="3" s="1"/>
  <c r="AI8" i="3" s="1"/>
  <c r="AJ5" i="3" s="1"/>
  <c r="AJ8" i="3" s="1"/>
  <c r="AK5" i="3" s="1"/>
  <c r="AK8" i="3" s="1"/>
  <c r="AL5" i="3" s="1"/>
  <c r="AL8" i="3" s="1"/>
  <c r="AM5" i="3" s="1"/>
  <c r="AM8" i="3" s="1"/>
  <c r="AN5" i="3" s="1"/>
  <c r="AN8" i="3" s="1"/>
  <c r="AO5" i="3" s="1"/>
  <c r="AO8" i="3" s="1"/>
  <c r="AP5" i="3" s="1"/>
  <c r="AP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kdic</author>
  </authors>
  <commentList>
    <comment ref="Z6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「예금자보호법」제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「농업협동조합의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구조개선에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법률」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개정일</t>
        </r>
        <r>
          <rPr>
            <b/>
            <sz val="9"/>
            <color indexed="81"/>
            <rFont val="Tahoma"/>
            <family val="2"/>
          </rPr>
          <t xml:space="preserve"> '20.5.26, </t>
        </r>
        <r>
          <rPr>
            <b/>
            <sz val="9"/>
            <color indexed="81"/>
            <rFont val="돋움"/>
            <family val="3"/>
            <charset val="129"/>
          </rPr>
          <t>시행일</t>
        </r>
        <r>
          <rPr>
            <b/>
            <sz val="9"/>
            <color indexed="81"/>
            <rFont val="Tahoma"/>
            <family val="2"/>
          </rPr>
          <t xml:space="preserve"> '20.11.27)</t>
        </r>
      </text>
    </comment>
    <comment ref="C32" authorId="0" shapeId="0" xr:uid="{00000000-0006-0000-0100-000002000000}">
      <text>
        <r>
          <rPr>
            <sz val="9"/>
            <color indexed="81"/>
            <rFont val="돋움"/>
            <family val="3"/>
            <charset val="129"/>
          </rPr>
          <t>「예금자보호법」제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「농업협동조합의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구조개선에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법률」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조제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개정일</t>
        </r>
        <r>
          <rPr>
            <sz val="9"/>
            <color indexed="81"/>
            <rFont val="Tahoma"/>
            <family val="2"/>
          </rPr>
          <t xml:space="preserve"> '20.5.26, </t>
        </r>
        <r>
          <rPr>
            <sz val="9"/>
            <color indexed="81"/>
            <rFont val="돋움"/>
            <family val="3"/>
            <charset val="129"/>
          </rPr>
          <t>시행일</t>
        </r>
        <r>
          <rPr>
            <sz val="9"/>
            <color indexed="81"/>
            <rFont val="Tahoma"/>
            <family val="2"/>
          </rPr>
          <t xml:space="preserve"> '20.11.27)</t>
        </r>
      </text>
    </comment>
  </commentList>
</comments>
</file>

<file path=xl/sharedStrings.xml><?xml version="1.0" encoding="utf-8"?>
<sst xmlns="http://schemas.openxmlformats.org/spreadsheetml/2006/main" count="538" uniqueCount="165">
  <si>
    <t>연도별 부보금융회사 통계(은행)</t>
    <phoneticPr fontId="2" type="noConversion"/>
  </si>
  <si>
    <t xml:space="preserve">(단위: 개) </t>
    <phoneticPr fontId="2" type="noConversion"/>
  </si>
  <si>
    <t>구분</t>
  </si>
  <si>
    <t>14.4분기</t>
  </si>
  <si>
    <t>15.1분기</t>
  </si>
  <si>
    <t>15.2분기</t>
  </si>
  <si>
    <t>15.3분기</t>
  </si>
  <si>
    <t>15.4분기</t>
  </si>
  <si>
    <t>16.1분기</t>
  </si>
  <si>
    <t>16.2분기</t>
  </si>
  <si>
    <t>16.3분기</t>
  </si>
  <si>
    <t>16.4분기</t>
  </si>
  <si>
    <t>17.1분기</t>
  </si>
  <si>
    <t>17.2분기</t>
  </si>
  <si>
    <t>17.3분기</t>
  </si>
  <si>
    <t>17.4분기</t>
    <phoneticPr fontId="2" type="noConversion"/>
  </si>
  <si>
    <t>18.1분기</t>
    <phoneticPr fontId="2" type="noConversion"/>
  </si>
  <si>
    <t>18.2분기</t>
    <phoneticPr fontId="2" type="noConversion"/>
  </si>
  <si>
    <t>18.3분기</t>
    <phoneticPr fontId="2" type="noConversion"/>
  </si>
  <si>
    <t>기초 회사수</t>
  </si>
  <si>
    <t>감소</t>
  </si>
  <si>
    <t>증가</t>
  </si>
  <si>
    <t>기말 회사수</t>
  </si>
  <si>
    <t>《변동 현황》</t>
  </si>
  <si>
    <t>개수</t>
  </si>
  <si>
    <t>비  고</t>
  </si>
  <si>
    <t>[합병] 하나∙외환은행 합병으로 KEB 하나은행 출범(`15.9.1)</t>
  </si>
  <si>
    <t>[신설] 중국광대은행 서울지점 시설 인가('15.12.16), 느가라인도네시아(BNI) 서울지점 신설 인가('15.11.04), 스테이트뱅크오브인디아(SBI) 서울지점 신설 인가('1510.21)</t>
  </si>
  <si>
    <t>[신설] ㈜케이뱅크은행 은행업 인가('16.12.14), 노던트러스트컴퍼니 서울지점 신설 인가('16.11.30)</t>
  </si>
  <si>
    <t>[청산] RBS, 골드만삭스, BBVA</t>
  </si>
  <si>
    <t>[신설] 한국카카오은행㈜ 은행업 인가('17.4.5)</t>
  </si>
  <si>
    <t>[폐지] Barclays 폐지인가('17.10.11), UBS 폐지인가('17.12.20)</t>
    <phoneticPr fontId="2" type="noConversion"/>
  </si>
  <si>
    <t>[폐지] 맥쿼리 폐지인가('19.6.26)</t>
  </si>
  <si>
    <t>[폐지] 인도해외은행 서울지점 폐지인가('19.8.28)</t>
    <phoneticPr fontId="2" type="noConversion"/>
  </si>
  <si>
    <t>[신설] 토스뱅크㈜ 은행업 인가('21.6.9)</t>
    <phoneticPr fontId="2" type="noConversion"/>
  </si>
  <si>
    <t>연도별 부보금융회사 통계(금융투자)</t>
    <phoneticPr fontId="2" type="noConversion"/>
  </si>
  <si>
    <t>[신설] 지에프아이코리아외국환중개㈜ ('15.12.16)</t>
  </si>
  <si>
    <t>[합병] 미래에셋대우, 미래에셋증권 → 미래에셋대우  ('16.12.30)
[합병] 현대증권, KB투자증권 → 케이비증권 ('16.12.30)</t>
  </si>
  <si>
    <t>[증가] 북서울농업협동조합('17.06.14)
 [증가] 초상증권('17.06.28)</t>
    <phoneticPr fontId="2" type="noConversion"/>
  </si>
  <si>
    <t>[폐지] 파인트리자산운용(주)('17.9.6)</t>
    <phoneticPr fontId="2" type="noConversion"/>
  </si>
  <si>
    <t>[신설] 미즈호증권 아시아리미티드 서울지점('17.9.6)</t>
    <phoneticPr fontId="2" type="noConversion"/>
  </si>
  <si>
    <t>감소</t>
    <phoneticPr fontId="2" type="noConversion"/>
  </si>
  <si>
    <t>[증가] 대구축산업협동조합('17.12.20), 순천농업협동조합('17.12.20), 천안농업협동조합('17.12.20), 파주연천축산업협동조합('17.12.20)</t>
    <phoneticPr fontId="2" type="noConversion"/>
  </si>
  <si>
    <t>[증가] 우정사업본부('18.6.27)</t>
  </si>
  <si>
    <t>[증가] 관악농업협동조합('18.07.26), 남동농업협동조합('18.07.26), 남인천농업협동조합('18.07.26), 송파농업협동조합('18.07.26), 양주축산업협동조합('18.07.26)</t>
  </si>
  <si>
    <t>[증가] 광주비아농업협동조합('18.12.19), 부경양돈협동조합('18.12.19), 서대전농업협동조합('18.12.19), 서부농업협동조합('18.12.19), 서울경기양돈축산업협동조합('18.12.19), 영등포농업협동조합('18.12.19), 중앙농업협동조합('18.12.19), 청주농업협동조합('18.12.19)</t>
  </si>
  <si>
    <t>[제외] 알지자산운용('19.3.20)</t>
  </si>
  <si>
    <t>[증가] 강동농업협동조합('19.7.24), 남서울농업협동조합('19.7.24), 도드람양돈협동조합('19.7.24), 동창원농업협동조합('19.7.24), 부평농업협동조합('19.7.24), 여수농업협동조합('19.7.24), 유성농업협동조합('19.7.24), 일산농업협동조합('19.7.24), 정읍농업협동조합('19.7.24), 청주축산업협동조합('19.7.24)</t>
    <phoneticPr fontId="2" type="noConversion"/>
  </si>
  <si>
    <t>[제외] 우정사업본부('19.8.12)</t>
    <phoneticPr fontId="2" type="noConversion"/>
  </si>
  <si>
    <t xml:space="preserve">[증가] 케이알투자증권('19.12.4), 가산농업협동조합('19.12.18), 강릉농업협동조합('19.12.18), 김해축산업협동조합('19.12.18), 반월농업협동조합('19.12.18), 여천농업협동조합('19.12.18), 인천원예농업협동조합('19.12.18), 장유농업협동조합('19.12.18), 진해농업협동조합('19.12.18) </t>
    <phoneticPr fontId="2" type="noConversion"/>
  </si>
  <si>
    <t>증가</t>
    <phoneticPr fontId="2" type="noConversion"/>
  </si>
  <si>
    <t>[폐지] 에셋원자산운용('20.4.16)</t>
    <phoneticPr fontId="2" type="noConversion"/>
  </si>
  <si>
    <t>[제외] 서울경기양돈축산업협동조합('20.11.27), 순천농업협동조합('20.11.27), 대구축산업협동조합('20.11.27), 양주축산업협동조합('20.11.27), 관악농업협동조합('20.11.27), 파주연천축산업협동조합('20.11.27), 북서울농업협동조합('20.11.27), 서부농업협동조합('20.11.27), 남동농업협동조합('20.11.27), 남인천농업협동조합('20.11.27), 송파농업협동조합('20.11.27), 비아농업협동조합('20.11.27), 청주농업협동조합('20.11.27), 중앙농업협동조합('20.11.27), 도드람양돈협동조합('20.11.27), 동창원농업협동조합('20.11.27), 부평농업협동조합('20.11.27), 일산농업협동조합('20.11.27), 정읍농업협동조합('20.11.27), 청주축산업협동조합('20.11.27), 천안농업협동조합('20.11.27), 영등포농업협동조합('20.11.27), 여천농업협동조합('20.11.27), 남서울농업협동조합('20.11.27), 여수농업협동조합('20.11.27), 강동농업협동조합('20.11.27), 김해축산업협동조합('20.11.27), 반월농업협동조합('20.11.27), 유성농업협동조합('20.11.27), 장유농업협동조합('20.11.27), 인천원예농업협동조합('20.11.27), 진해농업협동조합('20.11.27), 가산농업협동조합('20.11.27), 강릉농업협동조합('20.11.27), 서대전농협('20.11.27), 부경양돈농협('20.11.27)</t>
    <phoneticPr fontId="2" type="noConversion"/>
  </si>
  <si>
    <t>[증가] 토스증권('20.11.18)</t>
    <phoneticPr fontId="2" type="noConversion"/>
  </si>
  <si>
    <t>[증가] 한국아이엠씨증권('21.03.31)</t>
    <phoneticPr fontId="2" type="noConversion"/>
  </si>
  <si>
    <t>연도별 부보금융회사 통계(생명보험)</t>
    <phoneticPr fontId="2" type="noConversion"/>
  </si>
  <si>
    <t>[합병] 미래에셋생명, PCA생명 합병('18.3.2 - 합병등기일)</t>
  </si>
  <si>
    <t>연도별 부보금융회사 통계(손해보험)</t>
    <phoneticPr fontId="2" type="noConversion"/>
  </si>
  <si>
    <t>[해산결의 인가] 현대하이카다이렉트손해보험㈜('15.8.19)</t>
  </si>
  <si>
    <t>[청산종결등기] AIG유나이티드 개런티 인슈어런스 아시아 리미티드 한국지점('16.12.29)</t>
  </si>
  <si>
    <t>[청산] 젠워스모기지인슈어런스 한국지점('18.2.6)</t>
    <phoneticPr fontId="2" type="noConversion"/>
  </si>
  <si>
    <t>[해산] 한국해양보증보험(주)('18.7.5)</t>
  </si>
  <si>
    <t>[신설] 캐롯손해보험</t>
    <phoneticPr fontId="2" type="noConversion"/>
  </si>
  <si>
    <t>연도별 부보금융회사 통계(종금)</t>
    <phoneticPr fontId="2" type="noConversion"/>
  </si>
  <si>
    <t>연도별 부보금융회사 통계(저축은행)</t>
    <phoneticPr fontId="2" type="noConversion"/>
  </si>
  <si>
    <t>[폐지] 알비에스은행('14.11.10)</t>
    <phoneticPr fontId="2" type="noConversion"/>
  </si>
  <si>
    <t xml:space="preserve">[신설] 한국해양보증보험(주)('15.6.24) </t>
    <phoneticPr fontId="2" type="noConversion"/>
  </si>
  <si>
    <t>[청산] 페더럴인슈런스컴퍼니 한국지점('17.5.23)</t>
    <phoneticPr fontId="2" type="noConversion"/>
  </si>
  <si>
    <t>[신설] 알리안츠글로벌코퍼레이트앤 스페셜티 에스이 한국지점 보험업 인가('17.6.14.)</t>
    <phoneticPr fontId="2" type="noConversion"/>
  </si>
  <si>
    <t>기준연월(분기)</t>
    <phoneticPr fontId="2" type="noConversion"/>
  </si>
  <si>
    <t>감소</t>
    <phoneticPr fontId="2" type="noConversion"/>
  </si>
  <si>
    <t>[합병] 신한생명, 오렌지라이프생명 합병('21.7.1 - 합병등기일)</t>
    <phoneticPr fontId="2" type="noConversion"/>
  </si>
  <si>
    <t>19.2분기</t>
  </si>
  <si>
    <t>19.2분기</t>
    <phoneticPr fontId="2" type="noConversion"/>
  </si>
  <si>
    <t>19.3분기</t>
  </si>
  <si>
    <t>19.3분기</t>
    <phoneticPr fontId="2" type="noConversion"/>
  </si>
  <si>
    <t>20.1분기</t>
  </si>
  <si>
    <t>20.1분기</t>
    <phoneticPr fontId="2" type="noConversion"/>
  </si>
  <si>
    <t>21.2분기</t>
  </si>
  <si>
    <t>21.2분기</t>
    <phoneticPr fontId="2" type="noConversion"/>
  </si>
  <si>
    <t>18.4분기</t>
  </si>
  <si>
    <t>18.4분기</t>
    <phoneticPr fontId="2" type="noConversion"/>
  </si>
  <si>
    <t>19.2분기</t>
    <phoneticPr fontId="2" type="noConversion"/>
  </si>
  <si>
    <t>19.3분기</t>
    <phoneticPr fontId="2" type="noConversion"/>
  </si>
  <si>
    <t>20.2분기</t>
  </si>
  <si>
    <t>20.2분기</t>
    <phoneticPr fontId="2" type="noConversion"/>
  </si>
  <si>
    <t>20.3분기</t>
  </si>
  <si>
    <t>20.3분기</t>
    <phoneticPr fontId="2" type="noConversion"/>
  </si>
  <si>
    <t>20.4분기</t>
  </si>
  <si>
    <t>20.4분기</t>
    <phoneticPr fontId="2" type="noConversion"/>
  </si>
  <si>
    <t>21.1분기</t>
  </si>
  <si>
    <t>21.1분기</t>
    <phoneticPr fontId="2" type="noConversion"/>
  </si>
  <si>
    <t>21.2분기</t>
    <phoneticPr fontId="2" type="noConversion"/>
  </si>
  <si>
    <t>21.3분기</t>
  </si>
  <si>
    <t>21.3분기</t>
    <phoneticPr fontId="2" type="noConversion"/>
  </si>
  <si>
    <t>19.4분기</t>
  </si>
  <si>
    <t>19.4분기</t>
    <phoneticPr fontId="2" type="noConversion"/>
  </si>
  <si>
    <t>19.1분기</t>
  </si>
  <si>
    <t>19.1분기</t>
    <phoneticPr fontId="2" type="noConversion"/>
  </si>
  <si>
    <t>19.1분기</t>
    <phoneticPr fontId="2" type="noConversion"/>
  </si>
  <si>
    <t>18.4분기</t>
    <phoneticPr fontId="2" type="noConversion"/>
  </si>
  <si>
    <t>19.4분기</t>
    <phoneticPr fontId="2" type="noConversion"/>
  </si>
  <si>
    <t>21.1분기</t>
    <phoneticPr fontId="2" type="noConversion"/>
  </si>
  <si>
    <t>20.2분기</t>
    <phoneticPr fontId="2" type="noConversion"/>
  </si>
  <si>
    <t>20.4분기</t>
    <phoneticPr fontId="2" type="noConversion"/>
  </si>
  <si>
    <t>21.3분기</t>
    <phoneticPr fontId="2" type="noConversion"/>
  </si>
  <si>
    <t xml:space="preserve">18.4분기 </t>
  </si>
  <si>
    <t>[해산] 다스법률비용보험(주)('21.8.25. 해산결의 인가)</t>
    <phoneticPr fontId="2" type="noConversion"/>
  </si>
  <si>
    <t>서일-&gt; 웰컴(11.1) 합병
 [합병] 부산HK(→HK,'14.10.1), OK2(→OK, '14.10.31), SBI2,3,4(→SBI, '14.10.31)
 [파산] 해솔저축은행 파산선고('14.10.21)</t>
    <phoneticPr fontId="2" type="noConversion"/>
  </si>
  <si>
    <t>[파산]골든브릿지저축은행 파산선고('15.06.15)</t>
    <phoneticPr fontId="2" type="noConversion"/>
  </si>
  <si>
    <t>18.4분기</t>
    <phoneticPr fontId="2" type="noConversion"/>
  </si>
  <si>
    <t>19.1분기</t>
    <phoneticPr fontId="2" type="noConversion"/>
  </si>
  <si>
    <t>19.2분기</t>
    <phoneticPr fontId="2" type="noConversion"/>
  </si>
  <si>
    <t>19.3분기</t>
    <phoneticPr fontId="2" type="noConversion"/>
  </si>
  <si>
    <t>19.4분기</t>
    <phoneticPr fontId="2" type="noConversion"/>
  </si>
  <si>
    <t>20.1분기</t>
    <phoneticPr fontId="2" type="noConversion"/>
  </si>
  <si>
    <t>20.2분기</t>
    <phoneticPr fontId="2" type="noConversion"/>
  </si>
  <si>
    <t>20.3분기</t>
    <phoneticPr fontId="2" type="noConversion"/>
  </si>
  <si>
    <t>20.4분기</t>
    <phoneticPr fontId="2" type="noConversion"/>
  </si>
  <si>
    <t>21.1분기</t>
    <phoneticPr fontId="2" type="noConversion"/>
  </si>
  <si>
    <t>21.2분기</t>
    <phoneticPr fontId="2" type="noConversion"/>
  </si>
  <si>
    <t>21.3분기</t>
    <phoneticPr fontId="2" type="noConversion"/>
  </si>
  <si>
    <t>[제외] 마이에셋자산운용('16.8.31)</t>
    <phoneticPr fontId="2" type="noConversion"/>
  </si>
  <si>
    <t>[증가] 아이엔지증권 서울지점 ('16.8.31)</t>
    <phoneticPr fontId="2" type="noConversion"/>
  </si>
  <si>
    <t>[폐지] 비엔지증권('14.12.10)  [합병] 우리투자증권 NH농협 합병 → NH투자증권('14.12.30)</t>
    <phoneticPr fontId="2" type="noConversion"/>
  </si>
  <si>
    <t>[인가취소 및 청산] 한맥투자증권 ('15.02.16)</t>
    <phoneticPr fontId="2" type="noConversion"/>
  </si>
  <si>
    <t>21.4분기</t>
    <phoneticPr fontId="2" type="noConversion"/>
  </si>
  <si>
    <t>21.4분기</t>
    <phoneticPr fontId="2" type="noConversion"/>
  </si>
  <si>
    <t>[폐지] 노바스코셔은행 폐지인가('21.10.27)</t>
    <phoneticPr fontId="2" type="noConversion"/>
  </si>
  <si>
    <t>[폐지] 비오에스증권('16.4.27), 바클레이즈캐피탈('16.6.8)   [제외] KIDB채권중개, 서울외국환중개, 한국자금중개, KIDB자금중개, 비지씨캐피탈마켓외국환중개, 지에프아이코리아외국환중개 (예보법 시행령 개정)</t>
    <phoneticPr fontId="2" type="noConversion"/>
  </si>
  <si>
    <t>22.1분기</t>
    <phoneticPr fontId="2" type="noConversion"/>
  </si>
  <si>
    <t>22.2분기</t>
    <phoneticPr fontId="2" type="noConversion"/>
  </si>
  <si>
    <t>[신설] ㈜카카오페이손해보험 보험업 인가('22.4.13)</t>
    <phoneticPr fontId="2" type="noConversion"/>
  </si>
  <si>
    <t>22.3분기</t>
    <phoneticPr fontId="2" type="noConversion"/>
  </si>
  <si>
    <t>[신설] 팩토리 뮤츄얼 인슈런스 컴퍼니 한국지점('22.7.20)</t>
  </si>
  <si>
    <t>22.4분기</t>
    <phoneticPr fontId="2" type="noConversion"/>
  </si>
  <si>
    <t>[증가] 브이아이금융투자('22.10.26)</t>
    <phoneticPr fontId="2" type="noConversion"/>
  </si>
  <si>
    <t>23.1분기</t>
    <phoneticPr fontId="2" type="noConversion"/>
  </si>
  <si>
    <t>[폐지] 더노던트러스트컴퍼니 서울지점 폐지인가('23.3.15)</t>
  </si>
  <si>
    <t>[증가] 나틱시스증권('23.3.29)</t>
  </si>
  <si>
    <t>[합병] KB생명, 푸르덴셜생명 합병('23.1.2.) → KB라이프생명보험</t>
    <phoneticPr fontId="2" type="noConversion"/>
  </si>
  <si>
    <t>[폐지] 아이엠투자증권, 메리츠종금증권과 합병 ('15.05.31)  [폐지] 뉴엣지파이낸셜증권 (한국SG증권에 영업양수, '15.06.24)</t>
    <phoneticPr fontId="2" type="noConversion"/>
  </si>
  <si>
    <t>23.2분기</t>
    <phoneticPr fontId="2" type="noConversion"/>
  </si>
  <si>
    <t>23.3분기</t>
    <phoneticPr fontId="2" type="noConversion"/>
  </si>
  <si>
    <t>23.4분기</t>
    <phoneticPr fontId="2" type="noConversion"/>
  </si>
  <si>
    <t>24.1분기</t>
    <phoneticPr fontId="2" type="noConversion"/>
  </si>
  <si>
    <t xml:space="preserve">[합병] 미래에셋자산운용, 멀티에셋자산운용 → 미래에셋자산운용 </t>
    <phoneticPr fontId="2" type="noConversion"/>
  </si>
  <si>
    <t>24.1분기</t>
    <phoneticPr fontId="2" type="noConversion"/>
  </si>
  <si>
    <t>24.2분기</t>
    <phoneticPr fontId="2" type="noConversion"/>
  </si>
  <si>
    <t>[폐지] 야마구찌은행 부산지점 폐지인가('24.5.29)</t>
    <phoneticPr fontId="2" type="noConversion"/>
  </si>
  <si>
    <t>24.3분기</t>
    <phoneticPr fontId="2" type="noConversion"/>
  </si>
  <si>
    <t>[합병] 한국포스증권, 우리종합금융 → 우리투자증권</t>
    <phoneticPr fontId="2" type="noConversion"/>
  </si>
  <si>
    <t>24.4분기</t>
    <phoneticPr fontId="2" type="noConversion"/>
  </si>
  <si>
    <t>[폐지] 크레디트스위스증권 (서울지점) ('24.12.26)</t>
    <phoneticPr fontId="2" type="noConversion"/>
  </si>
  <si>
    <t>[신설] 스타인터내셔널인슈어런스싱가포르피티이엘티디 한국지점('24.10.17)</t>
    <phoneticPr fontId="2" type="noConversion"/>
  </si>
  <si>
    <t>25.1분기</t>
    <phoneticPr fontId="2" type="noConversion"/>
  </si>
  <si>
    <t>25.2분기</t>
    <phoneticPr fontId="2" type="noConversion"/>
  </si>
  <si>
    <t>25.3분기</t>
    <phoneticPr fontId="2" type="noConversion"/>
  </si>
  <si>
    <t xml:space="preserve">[신설] 마이브라운반려동물전문보험㈜) </t>
    <phoneticPr fontId="2" type="noConversion"/>
  </si>
  <si>
    <t>25.4분기</t>
    <phoneticPr fontId="2" type="noConversion"/>
  </si>
  <si>
    <t>[소멸] 캐롯손해보험(대주주인 한화손보와의 합병, '25.10.1.)</t>
    <phoneticPr fontId="2" type="noConversion"/>
  </si>
  <si>
    <t>[신설]예별손해보험(가교보험사, '25.9.4)</t>
    <phoneticPr fontId="2" type="noConversion"/>
  </si>
  <si>
    <t>[증가] 제프리스증권 서울지점('25.11.19)</t>
    <phoneticPr fontId="2" type="noConversion"/>
  </si>
  <si>
    <t>26.1분기</t>
    <phoneticPr fontId="2" type="noConversion"/>
  </si>
  <si>
    <t>[파산] 엠지손해보험(파산선고일 '26.3.13.)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</si>
</sst>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.&quot;mm&quot;월&quot;"/>
    <numFmt numFmtId="177" formatCode="#,##0_ ;[Red]\-#,##0\ 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20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8" fillId="4" borderId="1" xfId="3" applyFont="1" applyFill="1" applyBorder="1" applyAlignment="1">
      <alignment vertical="center" wrapText="1"/>
    </xf>
    <xf numFmtId="41" fontId="8" fillId="4" borderId="1" xfId="2" applyFont="1" applyFill="1" applyBorder="1" applyAlignment="1">
      <alignment horizontal="center" vertical="center" wrapText="1"/>
    </xf>
    <xf numFmtId="41" fontId="11" fillId="4" borderId="1" xfId="2" applyFont="1" applyFill="1" applyBorder="1" applyAlignment="1">
      <alignment horizontal="center" vertical="center" wrapText="1"/>
    </xf>
    <xf numFmtId="41" fontId="12" fillId="4" borderId="1" xfId="2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3" applyFont="1" applyFill="1" applyBorder="1">
      <alignment vertical="center"/>
    </xf>
    <xf numFmtId="0" fontId="5" fillId="0" borderId="1" xfId="3" quotePrefix="1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 wrapText="1"/>
    </xf>
    <xf numFmtId="0" fontId="8" fillId="0" borderId="0" xfId="4" applyNumberFormat="1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9" fillId="0" borderId="0" xfId="0" applyFont="1" applyFill="1">
      <alignment vertical="center"/>
    </xf>
    <xf numFmtId="0" fontId="4" fillId="0" borderId="0" xfId="0" applyFont="1" applyFill="1">
      <alignment vertical="center"/>
    </xf>
    <xf numFmtId="41" fontId="8" fillId="4" borderId="4" xfId="2" applyFont="1" applyFill="1" applyBorder="1" applyAlignment="1">
      <alignment vertical="center" wrapText="1"/>
    </xf>
    <xf numFmtId="0" fontId="4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6" fillId="0" borderId="0" xfId="0" applyFont="1">
      <alignment vertical="center"/>
    </xf>
    <xf numFmtId="0" fontId="8" fillId="3" borderId="1" xfId="3" applyFont="1" applyFill="1" applyBorder="1" applyAlignment="1">
      <alignment vertical="center" wrapText="1"/>
    </xf>
    <xf numFmtId="0" fontId="8" fillId="5" borderId="1" xfId="3" applyFont="1" applyFill="1" applyBorder="1" applyAlignment="1">
      <alignment vertical="center" wrapText="1"/>
    </xf>
    <xf numFmtId="0" fontId="5" fillId="2" borderId="1" xfId="3" applyFont="1" applyFill="1" applyBorder="1" applyAlignment="1">
      <alignment vertical="center" wrapText="1"/>
    </xf>
    <xf numFmtId="0" fontId="5" fillId="2" borderId="1" xfId="3" quotePrefix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176" fontId="5" fillId="2" borderId="1" xfId="3" applyNumberFormat="1" applyFont="1" applyFill="1" applyBorder="1" applyAlignment="1">
      <alignment horizontal="center" vertical="center" wrapText="1"/>
    </xf>
    <xf numFmtId="176" fontId="6" fillId="2" borderId="1" xfId="3" applyNumberFormat="1" applyFont="1" applyFill="1" applyBorder="1" applyAlignment="1">
      <alignment horizontal="center" vertical="center" wrapText="1"/>
    </xf>
    <xf numFmtId="176" fontId="7" fillId="2" borderId="1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14" fillId="2" borderId="3" xfId="3" applyFont="1" applyFill="1" applyBorder="1" applyAlignment="1">
      <alignment horizontal="center" vertical="center" wrapText="1"/>
    </xf>
    <xf numFmtId="41" fontId="0" fillId="0" borderId="1" xfId="2" applyFont="1" applyBorder="1">
      <alignment vertical="center"/>
    </xf>
    <xf numFmtId="41" fontId="9" fillId="0" borderId="1" xfId="2" applyFont="1" applyBorder="1">
      <alignment vertical="center"/>
    </xf>
    <xf numFmtId="41" fontId="0" fillId="0" borderId="0" xfId="2" applyFont="1">
      <alignment vertical="center"/>
    </xf>
    <xf numFmtId="0" fontId="20" fillId="0" borderId="0" xfId="3" applyFont="1" applyFill="1" applyBorder="1" applyAlignment="1">
      <alignment vertical="center"/>
    </xf>
    <xf numFmtId="0" fontId="5" fillId="0" borderId="0" xfId="3" applyFont="1" applyFill="1" applyBorder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3" applyFont="1" applyFill="1" applyBorder="1" applyAlignme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41" fontId="4" fillId="0" borderId="1" xfId="2" applyFont="1" applyBorder="1">
      <alignment vertical="center"/>
    </xf>
    <xf numFmtId="41" fontId="0" fillId="3" borderId="1" xfId="2" applyFont="1" applyFill="1" applyBorder="1">
      <alignment vertical="center"/>
    </xf>
    <xf numFmtId="41" fontId="4" fillId="3" borderId="1" xfId="2" applyFont="1" applyFill="1" applyBorder="1">
      <alignment vertical="center"/>
    </xf>
    <xf numFmtId="41" fontId="9" fillId="3" borderId="1" xfId="2" applyFont="1" applyFill="1" applyBorder="1">
      <alignment vertical="center"/>
    </xf>
    <xf numFmtId="41" fontId="10" fillId="3" borderId="1" xfId="2" applyFont="1" applyFill="1" applyBorder="1">
      <alignment vertical="center"/>
    </xf>
    <xf numFmtId="41" fontId="0" fillId="5" borderId="1" xfId="2" applyFont="1" applyFill="1" applyBorder="1">
      <alignment vertical="center"/>
    </xf>
    <xf numFmtId="41" fontId="4" fillId="5" borderId="1" xfId="2" applyFont="1" applyFill="1" applyBorder="1">
      <alignment vertical="center"/>
    </xf>
    <xf numFmtId="41" fontId="9" fillId="5" borderId="1" xfId="2" applyFont="1" applyFill="1" applyBorder="1">
      <alignment vertical="center"/>
    </xf>
    <xf numFmtId="41" fontId="10" fillId="5" borderId="1" xfId="2" applyFont="1" applyFill="1" applyBorder="1">
      <alignment vertical="center"/>
    </xf>
    <xf numFmtId="41" fontId="10" fillId="0" borderId="1" xfId="2" applyFont="1" applyBorder="1">
      <alignment vertical="center"/>
    </xf>
    <xf numFmtId="176" fontId="19" fillId="2" borderId="1" xfId="3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5" xfId="3" applyFont="1" applyFill="1" applyBorder="1" applyAlignment="1">
      <alignment horizontal="center" vertical="center" wrapText="1"/>
    </xf>
    <xf numFmtId="0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0" fontId="9" fillId="0" borderId="0" xfId="0" applyNumberFormat="1" applyFont="1" applyBorder="1">
      <alignment vertical="center"/>
    </xf>
    <xf numFmtId="0" fontId="0" fillId="0" borderId="0" xfId="0" applyNumberFormat="1" applyFill="1" applyBorder="1" applyAlignment="1">
      <alignment vertical="center"/>
    </xf>
    <xf numFmtId="0" fontId="9" fillId="0" borderId="0" xfId="0" applyNumberFormat="1" applyFont="1">
      <alignment vertical="center"/>
    </xf>
    <xf numFmtId="0" fontId="4" fillId="0" borderId="0" xfId="0" applyNumberFormat="1" applyFont="1">
      <alignment vertical="center"/>
    </xf>
    <xf numFmtId="0" fontId="9" fillId="0" borderId="0" xfId="0" applyNumberFormat="1" applyFont="1" applyFill="1">
      <alignment vertical="center"/>
    </xf>
    <xf numFmtId="0" fontId="5" fillId="2" borderId="6" xfId="3" applyFont="1" applyFill="1" applyBorder="1" applyAlignment="1">
      <alignment horizontal="center" vertical="center" wrapText="1"/>
    </xf>
    <xf numFmtId="0" fontId="5" fillId="2" borderId="7" xfId="3" applyFont="1" applyFill="1" applyBorder="1" applyAlignment="1">
      <alignment horizontal="center" vertical="center" wrapText="1"/>
    </xf>
    <xf numFmtId="0" fontId="14" fillId="2" borderId="8" xfId="3" applyFont="1" applyFill="1" applyBorder="1" applyAlignment="1">
      <alignment horizontal="center" vertical="center" wrapText="1"/>
    </xf>
    <xf numFmtId="177" fontId="8" fillId="0" borderId="1" xfId="2" applyNumberFormat="1" applyFont="1" applyFill="1" applyBorder="1" applyAlignment="1">
      <alignment horizontal="right" vertical="center" wrapText="1"/>
    </xf>
    <xf numFmtId="177" fontId="9" fillId="0" borderId="1" xfId="2" applyNumberFormat="1" applyFont="1" applyFill="1" applyBorder="1" applyAlignment="1">
      <alignment horizontal="right" vertical="center"/>
    </xf>
    <xf numFmtId="177" fontId="9" fillId="0" borderId="1" xfId="2" applyNumberFormat="1" applyFont="1" applyBorder="1" applyAlignment="1">
      <alignment horizontal="right" vertical="center"/>
    </xf>
    <xf numFmtId="177" fontId="0" fillId="0" borderId="1" xfId="2" applyNumberFormat="1" applyFont="1" applyBorder="1" applyAlignment="1">
      <alignment horizontal="right" vertical="center"/>
    </xf>
    <xf numFmtId="177" fontId="8" fillId="0" borderId="1" xfId="2" applyNumberFormat="1" applyFont="1" applyFill="1" applyBorder="1" applyAlignment="1">
      <alignment horizontal="right" vertical="center"/>
    </xf>
    <xf numFmtId="177" fontId="8" fillId="0" borderId="1" xfId="2" applyNumberFormat="1" applyFont="1" applyFill="1" applyBorder="1" applyAlignment="1">
      <alignment vertical="center"/>
    </xf>
    <xf numFmtId="177" fontId="0" fillId="0" borderId="1" xfId="2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41" fontId="9" fillId="0" borderId="1" xfId="2" applyFont="1" applyFill="1" applyBorder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 applyBorder="1">
      <alignment vertical="center"/>
    </xf>
    <xf numFmtId="0" fontId="5" fillId="0" borderId="9" xfId="3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1" fontId="9" fillId="0" borderId="0" xfId="2" applyFont="1">
      <alignment vertical="center"/>
    </xf>
    <xf numFmtId="41" fontId="9" fillId="0" borderId="0" xfId="2" applyFont="1" applyFill="1">
      <alignment vertical="center"/>
    </xf>
    <xf numFmtId="0" fontId="5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</cellXfs>
  <cellStyles count="5">
    <cellStyle name="쉼표 [0]" xfId="2" builtinId="6"/>
    <cellStyle name="쉼표 [0] 2" xfId="4" xr:uid="{00000000-0005-0000-0000-000001000000}"/>
    <cellStyle name="쉼표 [0] 3" xfId="1" xr:uid="{00000000-0005-0000-0000-000002000000}"/>
    <cellStyle name="표준" xfId="0" builtinId="0"/>
    <cellStyle name="표준_국회 통계('10.6 업무보고 대비)_v3(대외) 2" xfId="3" xr:uid="{00000000-0005-0000-0000-000004000000}"/>
  </cellStyles>
  <dxfs count="46"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  <dxf>
      <fill>
        <patternFill>
          <bgColor rgb="FFFFCCCC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dic/Desktop/&#9733;&#50629;&#47924;/3.%20&#50696;&#48372;&#48277;%2021&#51312;%20&#53685;&#44228;_&#48512;&#48372;&#44552;&#50997;&#54924;&#49324;%20&#48320;&#46041;%20&#53685;&#44228;/2024&#45380;/24.3&#50900;/2.%20&#52712;&#54633;/(&#48537;&#51076;2)%20(24.3&#50900;&#47568;&#44592;&#51456;)%20&#48512;&#48372;&#44552;&#50997;&#54924;&#49324;%20&#48320;&#46041;%20&#54788;&#54889;(&#44552;&#53804;&#47532;&#49828;&#53356;&#44288;&#47532;&#48512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dic\AppData\Local\Microsoft\Windows\INetCache\IE\3EZRWOC8\(&#48537;&#51076;2)%20(24.10&#50900;&#47568;&#44592;&#51456;)%20&#48512;&#48372;&#44552;&#50997;&#54924;&#49324;%20&#48320;&#46041;%20&#54788;&#54889;_&#48372;&#54744;&#47532;&#49828;&#53356;&#44288;&#47532;&#48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표"/>
      <sheetName val="부보금융회사 전체목록"/>
      <sheetName val="은행"/>
      <sheetName val="금융투자"/>
      <sheetName val="종합금융"/>
      <sheetName val="생명보험"/>
      <sheetName val="손해보험"/>
      <sheetName val="저축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표"/>
      <sheetName val="부보금융회사 전체목록"/>
      <sheetName val="은행"/>
      <sheetName val="금융투자"/>
      <sheetName val="종합금융"/>
      <sheetName val="생명보험"/>
      <sheetName val="손해보험"/>
      <sheetName val="저축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"/>
  <sheetViews>
    <sheetView tabSelected="1" workbookViewId="0">
      <pane xSplit="10" topLeftCell="AG1" activePane="topRight" state="frozen"/>
      <selection pane="topRight" activeCell="AQ29" sqref="AQ29"/>
    </sheetView>
  </sheetViews>
  <sheetFormatPr defaultRowHeight="16.5"/>
  <cols>
    <col min="1" max="1" width="15.375" customWidth="1"/>
    <col min="3" max="3" width="9" style="35"/>
    <col min="4" max="4" width="9" style="58"/>
    <col min="8" max="8" width="9.375" customWidth="1"/>
    <col min="10" max="10" width="9.375" bestFit="1" customWidth="1"/>
    <col min="18" max="21" width="10.125" customWidth="1"/>
    <col min="22" max="23" width="10.125" style="1" customWidth="1"/>
  </cols>
  <sheetData>
    <row r="1" spans="1:47" s="38" customFormat="1" ht="31.5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V1" s="39"/>
      <c r="W1" s="39"/>
    </row>
    <row r="2" spans="1:47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V2" s="7"/>
      <c r="W2" s="7"/>
    </row>
    <row r="3" spans="1:47">
      <c r="A3" t="s">
        <v>1</v>
      </c>
      <c r="C3"/>
      <c r="D3"/>
      <c r="X3" s="1"/>
      <c r="Y3" s="1"/>
      <c r="Z3" s="1"/>
      <c r="AA3" s="1"/>
      <c r="AB3" s="1"/>
      <c r="AC3" s="1"/>
    </row>
    <row r="4" spans="1:47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80</v>
      </c>
      <c r="S4" s="28" t="s">
        <v>97</v>
      </c>
      <c r="T4" s="28" t="s">
        <v>72</v>
      </c>
      <c r="U4" s="28" t="s">
        <v>74</v>
      </c>
      <c r="V4" s="28" t="s">
        <v>95</v>
      </c>
      <c r="W4" s="29" t="s">
        <v>76</v>
      </c>
      <c r="X4" s="29" t="s">
        <v>84</v>
      </c>
      <c r="Y4" s="29" t="s">
        <v>86</v>
      </c>
      <c r="Z4" s="30" t="s">
        <v>88</v>
      </c>
      <c r="AA4" s="29" t="s">
        <v>90</v>
      </c>
      <c r="AB4" s="29" t="s">
        <v>78</v>
      </c>
      <c r="AC4" s="29" t="s">
        <v>93</v>
      </c>
      <c r="AD4" s="29" t="s">
        <v>126</v>
      </c>
      <c r="AE4" s="29" t="s">
        <v>130</v>
      </c>
      <c r="AF4" s="29" t="s">
        <v>131</v>
      </c>
      <c r="AG4" s="29" t="s">
        <v>133</v>
      </c>
      <c r="AH4" s="29" t="s">
        <v>135</v>
      </c>
      <c r="AI4" s="29" t="s">
        <v>137</v>
      </c>
      <c r="AJ4" s="29" t="s">
        <v>142</v>
      </c>
      <c r="AK4" s="29" t="s">
        <v>143</v>
      </c>
      <c r="AL4" s="29" t="s">
        <v>144</v>
      </c>
      <c r="AM4" s="29" t="s">
        <v>145</v>
      </c>
      <c r="AN4" s="29" t="s">
        <v>148</v>
      </c>
      <c r="AO4" s="29" t="s">
        <v>150</v>
      </c>
      <c r="AP4" s="29" t="s">
        <v>152</v>
      </c>
      <c r="AQ4" s="29" t="s">
        <v>155</v>
      </c>
      <c r="AR4" s="29" t="s">
        <v>156</v>
      </c>
      <c r="AS4" s="29" t="s">
        <v>157</v>
      </c>
      <c r="AT4" s="29" t="s">
        <v>159</v>
      </c>
      <c r="AU4" s="29" t="s">
        <v>163</v>
      </c>
    </row>
    <row r="5" spans="1:47" ht="16.5" customHeight="1">
      <c r="A5" s="3" t="s">
        <v>19</v>
      </c>
      <c r="B5" s="33">
        <v>57</v>
      </c>
      <c r="C5" s="33">
        <f>B8</f>
        <v>56</v>
      </c>
      <c r="D5" s="33">
        <f t="shared" ref="D5:R5" si="0">C8</f>
        <v>56</v>
      </c>
      <c r="E5" s="33">
        <f t="shared" si="0"/>
        <v>56</v>
      </c>
      <c r="F5" s="33">
        <f t="shared" si="0"/>
        <v>55</v>
      </c>
      <c r="G5" s="33">
        <f t="shared" si="0"/>
        <v>58</v>
      </c>
      <c r="H5" s="33">
        <f t="shared" si="0"/>
        <v>58</v>
      </c>
      <c r="I5" s="33">
        <f t="shared" si="0"/>
        <v>58</v>
      </c>
      <c r="J5" s="33">
        <f t="shared" si="0"/>
        <v>58</v>
      </c>
      <c r="K5" s="33">
        <f t="shared" si="0"/>
        <v>60</v>
      </c>
      <c r="L5" s="33">
        <f t="shared" si="0"/>
        <v>60</v>
      </c>
      <c r="M5" s="33">
        <f t="shared" si="0"/>
        <v>58</v>
      </c>
      <c r="N5" s="33">
        <f t="shared" si="0"/>
        <v>58</v>
      </c>
      <c r="O5" s="33">
        <f t="shared" si="0"/>
        <v>56</v>
      </c>
      <c r="P5" s="33">
        <f t="shared" si="0"/>
        <v>56</v>
      </c>
      <c r="Q5" s="33">
        <f t="shared" si="0"/>
        <v>56</v>
      </c>
      <c r="R5" s="43">
        <f t="shared" si="0"/>
        <v>56</v>
      </c>
      <c r="S5" s="43">
        <f>R8</f>
        <v>56</v>
      </c>
      <c r="T5" s="43">
        <f t="shared" ref="T5:AC5" si="1">S8</f>
        <v>56</v>
      </c>
      <c r="U5" s="43">
        <f t="shared" si="1"/>
        <v>55</v>
      </c>
      <c r="V5" s="43">
        <f t="shared" si="1"/>
        <v>54</v>
      </c>
      <c r="W5" s="43">
        <f t="shared" si="1"/>
        <v>54</v>
      </c>
      <c r="X5" s="43">
        <f t="shared" si="1"/>
        <v>54</v>
      </c>
      <c r="Y5" s="43">
        <f t="shared" si="1"/>
        <v>54</v>
      </c>
      <c r="Z5" s="43">
        <f t="shared" si="1"/>
        <v>54</v>
      </c>
      <c r="AA5" s="43">
        <f t="shared" si="1"/>
        <v>54</v>
      </c>
      <c r="AB5" s="43">
        <f t="shared" si="1"/>
        <v>54</v>
      </c>
      <c r="AC5" s="43">
        <f t="shared" si="1"/>
        <v>55</v>
      </c>
      <c r="AD5" s="43">
        <f t="shared" ref="AD5:AP5" si="2">AC8</f>
        <v>55</v>
      </c>
      <c r="AE5" s="43">
        <f t="shared" si="2"/>
        <v>54</v>
      </c>
      <c r="AF5" s="43">
        <f t="shared" si="2"/>
        <v>54</v>
      </c>
      <c r="AG5" s="43">
        <f t="shared" si="2"/>
        <v>54</v>
      </c>
      <c r="AH5" s="43">
        <f t="shared" si="2"/>
        <v>54</v>
      </c>
      <c r="AI5" s="43">
        <f t="shared" si="2"/>
        <v>54</v>
      </c>
      <c r="AJ5" s="43">
        <f t="shared" si="2"/>
        <v>53</v>
      </c>
      <c r="AK5" s="43">
        <f t="shared" si="2"/>
        <v>53</v>
      </c>
      <c r="AL5" s="43">
        <f t="shared" si="2"/>
        <v>53</v>
      </c>
      <c r="AM5" s="43">
        <f t="shared" si="2"/>
        <v>53</v>
      </c>
      <c r="AN5" s="43">
        <f t="shared" si="2"/>
        <v>53</v>
      </c>
      <c r="AO5" s="43">
        <f t="shared" si="2"/>
        <v>52</v>
      </c>
      <c r="AP5" s="43">
        <f t="shared" si="2"/>
        <v>52</v>
      </c>
      <c r="AQ5" s="43">
        <v>52</v>
      </c>
      <c r="AR5" s="43">
        <v>52</v>
      </c>
      <c r="AS5" s="43">
        <v>52</v>
      </c>
      <c r="AT5" s="43">
        <v>52</v>
      </c>
      <c r="AU5" s="43">
        <v>52</v>
      </c>
    </row>
    <row r="6" spans="1:47">
      <c r="A6" s="23" t="s">
        <v>20</v>
      </c>
      <c r="B6" s="44">
        <v>1</v>
      </c>
      <c r="C6" s="44"/>
      <c r="D6" s="44"/>
      <c r="E6" s="44">
        <v>1</v>
      </c>
      <c r="F6" s="44"/>
      <c r="G6" s="44"/>
      <c r="H6" s="44"/>
      <c r="I6" s="44"/>
      <c r="J6" s="44"/>
      <c r="K6" s="44"/>
      <c r="L6" s="44">
        <v>3</v>
      </c>
      <c r="M6" s="44"/>
      <c r="N6" s="44">
        <v>2</v>
      </c>
      <c r="O6" s="44"/>
      <c r="P6" s="44"/>
      <c r="Q6" s="44"/>
      <c r="R6" s="45"/>
      <c r="S6" s="45"/>
      <c r="T6" s="45">
        <v>1</v>
      </c>
      <c r="U6" s="45">
        <v>1</v>
      </c>
      <c r="V6" s="46"/>
      <c r="W6" s="45"/>
      <c r="X6" s="46"/>
      <c r="Y6" s="46"/>
      <c r="Z6" s="47"/>
      <c r="AA6" s="46"/>
      <c r="AB6" s="46"/>
      <c r="AC6" s="46"/>
      <c r="AD6" s="46">
        <v>1</v>
      </c>
      <c r="AE6" s="46"/>
      <c r="AF6" s="46"/>
      <c r="AG6" s="46"/>
      <c r="AH6" s="46"/>
      <c r="AI6" s="46">
        <v>1</v>
      </c>
      <c r="AJ6" s="46"/>
      <c r="AK6" s="46"/>
      <c r="AL6" s="46"/>
      <c r="AM6" s="46"/>
      <c r="AN6" s="46">
        <v>1</v>
      </c>
      <c r="AO6" s="46"/>
      <c r="AP6" s="46"/>
      <c r="AQ6" s="46"/>
      <c r="AR6" s="46"/>
      <c r="AS6" s="46"/>
      <c r="AT6" s="46"/>
      <c r="AU6" s="46"/>
    </row>
    <row r="7" spans="1:47">
      <c r="A7" s="24" t="s">
        <v>21</v>
      </c>
      <c r="B7" s="48"/>
      <c r="C7" s="48"/>
      <c r="D7" s="48"/>
      <c r="E7" s="48"/>
      <c r="F7" s="48">
        <v>3</v>
      </c>
      <c r="G7" s="48"/>
      <c r="H7" s="48"/>
      <c r="I7" s="48"/>
      <c r="J7" s="48">
        <v>2</v>
      </c>
      <c r="K7" s="48"/>
      <c r="L7" s="48">
        <v>1</v>
      </c>
      <c r="M7" s="48"/>
      <c r="N7" s="48"/>
      <c r="O7" s="48"/>
      <c r="P7" s="48"/>
      <c r="Q7" s="48"/>
      <c r="R7" s="49"/>
      <c r="S7" s="49"/>
      <c r="T7" s="49"/>
      <c r="U7" s="49"/>
      <c r="V7" s="50"/>
      <c r="W7" s="49"/>
      <c r="X7" s="50"/>
      <c r="Y7" s="50"/>
      <c r="Z7" s="51"/>
      <c r="AA7" s="50"/>
      <c r="AB7" s="50">
        <v>1</v>
      </c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</row>
    <row r="8" spans="1:47" ht="17.25" customHeight="1">
      <c r="A8" s="3" t="s">
        <v>22</v>
      </c>
      <c r="B8" s="4">
        <f>B5-B6+B7</f>
        <v>56</v>
      </c>
      <c r="C8" s="4">
        <f t="shared" ref="C8:T8" si="3">C5-C6+C7</f>
        <v>56</v>
      </c>
      <c r="D8" s="4">
        <f t="shared" si="3"/>
        <v>56</v>
      </c>
      <c r="E8" s="4">
        <f t="shared" si="3"/>
        <v>55</v>
      </c>
      <c r="F8" s="4">
        <f t="shared" si="3"/>
        <v>58</v>
      </c>
      <c r="G8" s="4">
        <f t="shared" si="3"/>
        <v>58</v>
      </c>
      <c r="H8" s="4">
        <f t="shared" si="3"/>
        <v>58</v>
      </c>
      <c r="I8" s="4">
        <f t="shared" si="3"/>
        <v>58</v>
      </c>
      <c r="J8" s="4">
        <f t="shared" si="3"/>
        <v>60</v>
      </c>
      <c r="K8" s="4">
        <f t="shared" si="3"/>
        <v>60</v>
      </c>
      <c r="L8" s="4">
        <f t="shared" si="3"/>
        <v>58</v>
      </c>
      <c r="M8" s="4">
        <f t="shared" si="3"/>
        <v>58</v>
      </c>
      <c r="N8" s="4">
        <f t="shared" si="3"/>
        <v>56</v>
      </c>
      <c r="O8" s="4">
        <f t="shared" si="3"/>
        <v>56</v>
      </c>
      <c r="P8" s="4">
        <f t="shared" si="3"/>
        <v>56</v>
      </c>
      <c r="Q8" s="4">
        <f t="shared" si="3"/>
        <v>56</v>
      </c>
      <c r="R8" s="5">
        <f t="shared" si="3"/>
        <v>56</v>
      </c>
      <c r="S8" s="5">
        <f t="shared" si="3"/>
        <v>56</v>
      </c>
      <c r="T8" s="5">
        <f t="shared" si="3"/>
        <v>55</v>
      </c>
      <c r="U8" s="5">
        <f t="shared" ref="U8:AA8" si="4">U5-U6+U7</f>
        <v>54</v>
      </c>
      <c r="V8" s="4">
        <f t="shared" si="4"/>
        <v>54</v>
      </c>
      <c r="W8" s="5">
        <f t="shared" si="4"/>
        <v>54</v>
      </c>
      <c r="X8" s="4">
        <f t="shared" si="4"/>
        <v>54</v>
      </c>
      <c r="Y8" s="4">
        <f t="shared" si="4"/>
        <v>54</v>
      </c>
      <c r="Z8" s="6">
        <f t="shared" si="4"/>
        <v>54</v>
      </c>
      <c r="AA8" s="4">
        <f t="shared" si="4"/>
        <v>54</v>
      </c>
      <c r="AB8" s="4">
        <f t="shared" ref="AB8:AM8" si="5">AB5-AB6+AB7</f>
        <v>55</v>
      </c>
      <c r="AC8" s="4">
        <f t="shared" si="5"/>
        <v>55</v>
      </c>
      <c r="AD8" s="4">
        <f t="shared" si="5"/>
        <v>54</v>
      </c>
      <c r="AE8" s="4">
        <f t="shared" si="5"/>
        <v>54</v>
      </c>
      <c r="AF8" s="4">
        <f t="shared" si="5"/>
        <v>54</v>
      </c>
      <c r="AG8" s="4">
        <f t="shared" si="5"/>
        <v>54</v>
      </c>
      <c r="AH8" s="4">
        <f t="shared" si="5"/>
        <v>54</v>
      </c>
      <c r="AI8" s="4">
        <f t="shared" si="5"/>
        <v>53</v>
      </c>
      <c r="AJ8" s="4">
        <f t="shared" si="5"/>
        <v>53</v>
      </c>
      <c r="AK8" s="4">
        <f t="shared" si="5"/>
        <v>53</v>
      </c>
      <c r="AL8" s="4">
        <f t="shared" si="5"/>
        <v>53</v>
      </c>
      <c r="AM8" s="4">
        <f t="shared" si="5"/>
        <v>53</v>
      </c>
      <c r="AN8" s="4">
        <f t="shared" ref="AN8:AO8" si="6">AN5-AN6+AN7</f>
        <v>52</v>
      </c>
      <c r="AO8" s="4">
        <f t="shared" si="6"/>
        <v>52</v>
      </c>
      <c r="AP8" s="4">
        <f t="shared" ref="AP8:AQ8" si="7">AP5-AP6+AP7</f>
        <v>52</v>
      </c>
      <c r="AQ8" s="4">
        <f t="shared" si="7"/>
        <v>52</v>
      </c>
      <c r="AR8" s="4">
        <f t="shared" ref="AR8:AS8" si="8">AR5-AR6+AR7</f>
        <v>52</v>
      </c>
      <c r="AS8" s="4">
        <f t="shared" si="8"/>
        <v>52</v>
      </c>
      <c r="AT8" s="4">
        <f t="shared" ref="AT8:AU8" si="9">AT5-AT6+AT7</f>
        <v>52</v>
      </c>
      <c r="AU8" s="4">
        <f t="shared" si="9"/>
        <v>52</v>
      </c>
    </row>
    <row r="9" spans="1:47">
      <c r="C9"/>
      <c r="D9"/>
      <c r="T9" s="1"/>
      <c r="U9" s="1"/>
      <c r="V9" s="7"/>
      <c r="AA9" s="7"/>
    </row>
    <row r="10" spans="1:47" ht="20.25" thickBot="1">
      <c r="A10" s="9" t="s">
        <v>23</v>
      </c>
      <c r="C10"/>
      <c r="D10"/>
    </row>
    <row r="11" spans="1:47" ht="18" thickBot="1">
      <c r="A11" s="27" t="s">
        <v>69</v>
      </c>
      <c r="B11" s="27" t="s">
        <v>2</v>
      </c>
      <c r="C11" s="31" t="s">
        <v>24</v>
      </c>
      <c r="D11" s="32" t="s">
        <v>25</v>
      </c>
    </row>
    <row r="12" spans="1:47">
      <c r="A12" s="10" t="s">
        <v>3</v>
      </c>
      <c r="B12" s="11" t="s">
        <v>20</v>
      </c>
      <c r="C12" s="73">
        <v>1</v>
      </c>
      <c r="D12" s="12" t="s">
        <v>65</v>
      </c>
    </row>
    <row r="13" spans="1:47">
      <c r="A13" s="13" t="s">
        <v>6</v>
      </c>
      <c r="B13" s="11" t="s">
        <v>20</v>
      </c>
      <c r="C13" s="73">
        <v>1</v>
      </c>
      <c r="D13" s="12" t="s">
        <v>26</v>
      </c>
    </row>
    <row r="14" spans="1:47">
      <c r="A14" s="13" t="s">
        <v>7</v>
      </c>
      <c r="B14" s="11" t="s">
        <v>21</v>
      </c>
      <c r="C14" s="73">
        <v>3</v>
      </c>
      <c r="D14" s="12" t="s">
        <v>27</v>
      </c>
    </row>
    <row r="15" spans="1:47">
      <c r="A15" s="13" t="s">
        <v>11</v>
      </c>
      <c r="B15" s="11" t="s">
        <v>21</v>
      </c>
      <c r="C15" s="73">
        <v>2</v>
      </c>
      <c r="D15" s="12" t="s">
        <v>28</v>
      </c>
      <c r="E15" s="12"/>
    </row>
    <row r="16" spans="1:47">
      <c r="A16" s="13" t="s">
        <v>13</v>
      </c>
      <c r="B16" s="11" t="s">
        <v>20</v>
      </c>
      <c r="C16" s="73">
        <v>3</v>
      </c>
      <c r="D16" s="12" t="s">
        <v>29</v>
      </c>
    </row>
    <row r="17" spans="1:23">
      <c r="A17" s="13" t="s">
        <v>13</v>
      </c>
      <c r="B17" s="11" t="s">
        <v>21</v>
      </c>
      <c r="C17" s="73">
        <v>1</v>
      </c>
      <c r="D17" s="12" t="s">
        <v>30</v>
      </c>
    </row>
    <row r="18" spans="1:23" s="15" customFormat="1">
      <c r="A18" s="13" t="s">
        <v>15</v>
      </c>
      <c r="B18" s="11" t="s">
        <v>20</v>
      </c>
      <c r="C18" s="74">
        <v>2</v>
      </c>
      <c r="D18" s="64" t="s">
        <v>31</v>
      </c>
      <c r="V18" s="16"/>
      <c r="W18" s="17"/>
    </row>
    <row r="19" spans="1:23">
      <c r="A19" s="13" t="s">
        <v>73</v>
      </c>
      <c r="B19" s="11" t="s">
        <v>20</v>
      </c>
      <c r="C19" s="74">
        <v>1</v>
      </c>
      <c r="D19" s="64" t="s">
        <v>32</v>
      </c>
    </row>
    <row r="20" spans="1:23">
      <c r="A20" s="13" t="s">
        <v>75</v>
      </c>
      <c r="B20" s="11" t="s">
        <v>20</v>
      </c>
      <c r="C20" s="74">
        <v>1</v>
      </c>
      <c r="D20" s="64" t="s">
        <v>33</v>
      </c>
    </row>
    <row r="21" spans="1:23">
      <c r="A21" s="13" t="s">
        <v>79</v>
      </c>
      <c r="B21" s="11" t="s">
        <v>21</v>
      </c>
      <c r="C21" s="74">
        <v>1</v>
      </c>
      <c r="D21" s="12" t="s">
        <v>34</v>
      </c>
    </row>
    <row r="22" spans="1:23">
      <c r="A22" s="13" t="s">
        <v>126</v>
      </c>
      <c r="B22" s="11" t="s">
        <v>20</v>
      </c>
      <c r="C22" s="74">
        <v>1</v>
      </c>
      <c r="D22" s="62" t="s">
        <v>128</v>
      </c>
    </row>
    <row r="23" spans="1:23">
      <c r="A23" s="13" t="s">
        <v>137</v>
      </c>
      <c r="B23" s="11" t="s">
        <v>20</v>
      </c>
      <c r="C23" s="74">
        <v>1</v>
      </c>
      <c r="D23" s="62" t="s">
        <v>138</v>
      </c>
    </row>
    <row r="24" spans="1:23">
      <c r="A24" s="13" t="s">
        <v>148</v>
      </c>
      <c r="B24" s="11" t="s">
        <v>20</v>
      </c>
      <c r="C24" s="74">
        <v>1</v>
      </c>
      <c r="D24" s="62" t="s">
        <v>149</v>
      </c>
    </row>
  </sheetData>
  <phoneticPr fontId="2" type="noConversion"/>
  <conditionalFormatting sqref="B12:B21 B25:B1048576">
    <cfRule type="cellIs" dxfId="45" priority="9" operator="equal">
      <formula>"감소"</formula>
    </cfRule>
    <cfRule type="cellIs" dxfId="44" priority="10" operator="equal">
      <formula>"증가"</formula>
    </cfRule>
  </conditionalFormatting>
  <conditionalFormatting sqref="B22">
    <cfRule type="cellIs" dxfId="43" priority="5" operator="equal">
      <formula>"감소"</formula>
    </cfRule>
    <cfRule type="cellIs" dxfId="42" priority="6" operator="equal">
      <formula>"증가"</formula>
    </cfRule>
  </conditionalFormatting>
  <conditionalFormatting sqref="B23">
    <cfRule type="cellIs" dxfId="41" priority="3" operator="equal">
      <formula>"감소"</formula>
    </cfRule>
    <cfRule type="cellIs" dxfId="40" priority="4" operator="equal">
      <formula>"증가"</formula>
    </cfRule>
  </conditionalFormatting>
  <conditionalFormatting sqref="B24">
    <cfRule type="cellIs" dxfId="39" priority="1" operator="equal">
      <formula>"감소"</formula>
    </cfRule>
    <cfRule type="cellIs" dxfId="38" priority="2" operator="equal">
      <formula>"증가"</formula>
    </cfRule>
  </conditionalFormatting>
  <dataValidations count="1">
    <dataValidation type="list" allowBlank="1" showInputMessage="1" showErrorMessage="1" sqref="B12:B1048576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9"/>
  <sheetViews>
    <sheetView workbookViewId="0">
      <pane xSplit="10" topLeftCell="AH1" activePane="topRight" state="frozen"/>
      <selection pane="topRight" activeCell="AS19" sqref="AS19"/>
    </sheetView>
  </sheetViews>
  <sheetFormatPr defaultColWidth="9" defaultRowHeight="16.5"/>
  <cols>
    <col min="1" max="1" width="15.375" customWidth="1"/>
    <col min="3" max="3" width="9" style="35"/>
    <col min="4" max="4" width="9" style="58"/>
    <col min="22" max="23" width="9" style="1"/>
  </cols>
  <sheetData>
    <row r="1" spans="1:48" s="41" customFormat="1" ht="26.25">
      <c r="A1" s="40" t="s">
        <v>35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V1" s="42"/>
      <c r="W1" s="42"/>
    </row>
    <row r="2" spans="1:48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V2" s="7"/>
      <c r="W2" s="7"/>
    </row>
    <row r="3" spans="1:48">
      <c r="A3" t="s">
        <v>1</v>
      </c>
      <c r="C3"/>
      <c r="D3"/>
      <c r="X3" s="1"/>
      <c r="Y3" s="1"/>
      <c r="Z3" s="1"/>
      <c r="AA3" s="1"/>
      <c r="AB3" s="1"/>
      <c r="AC3" s="1"/>
    </row>
    <row r="4" spans="1:48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80</v>
      </c>
      <c r="S4" s="28" t="s">
        <v>97</v>
      </c>
      <c r="T4" s="28" t="s">
        <v>72</v>
      </c>
      <c r="U4" s="28" t="s">
        <v>74</v>
      </c>
      <c r="V4" s="29" t="s">
        <v>95</v>
      </c>
      <c r="W4" s="29" t="s">
        <v>76</v>
      </c>
      <c r="X4" s="29" t="s">
        <v>84</v>
      </c>
      <c r="Y4" s="28" t="s">
        <v>86</v>
      </c>
      <c r="Z4" s="28" t="s">
        <v>88</v>
      </c>
      <c r="AA4" s="30" t="s">
        <v>90</v>
      </c>
      <c r="AB4" s="30" t="s">
        <v>78</v>
      </c>
      <c r="AC4" s="30" t="s">
        <v>93</v>
      </c>
      <c r="AD4" s="30" t="s">
        <v>126</v>
      </c>
      <c r="AE4" s="30" t="s">
        <v>130</v>
      </c>
      <c r="AF4" s="29" t="s">
        <v>131</v>
      </c>
      <c r="AG4" s="29" t="s">
        <v>131</v>
      </c>
      <c r="AH4" s="29" t="s">
        <v>133</v>
      </c>
      <c r="AI4" s="29" t="s">
        <v>135</v>
      </c>
      <c r="AJ4" s="29" t="s">
        <v>137</v>
      </c>
      <c r="AK4" s="29" t="s">
        <v>142</v>
      </c>
      <c r="AL4" s="29" t="s">
        <v>143</v>
      </c>
      <c r="AM4" s="29" t="s">
        <v>144</v>
      </c>
      <c r="AN4" s="30" t="s">
        <v>147</v>
      </c>
      <c r="AO4" s="30" t="s">
        <v>148</v>
      </c>
      <c r="AP4" s="30" t="s">
        <v>150</v>
      </c>
      <c r="AQ4" s="30" t="s">
        <v>152</v>
      </c>
      <c r="AR4" s="30" t="s">
        <v>155</v>
      </c>
      <c r="AS4" s="30" t="s">
        <v>156</v>
      </c>
      <c r="AT4" s="30" t="s">
        <v>157</v>
      </c>
      <c r="AU4" s="30" t="s">
        <v>159</v>
      </c>
      <c r="AV4" s="30" t="s">
        <v>163</v>
      </c>
    </row>
    <row r="5" spans="1:48" ht="16.5" customHeight="1">
      <c r="A5" s="3" t="s">
        <v>19</v>
      </c>
      <c r="B5" s="18">
        <v>118</v>
      </c>
      <c r="C5" s="33">
        <f>B8</f>
        <v>116</v>
      </c>
      <c r="D5" s="33">
        <f t="shared" ref="D5:O5" si="0">C8</f>
        <v>115</v>
      </c>
      <c r="E5" s="33">
        <f t="shared" si="0"/>
        <v>113</v>
      </c>
      <c r="F5" s="33">
        <f t="shared" si="0"/>
        <v>113</v>
      </c>
      <c r="G5" s="33">
        <f t="shared" si="0"/>
        <v>114</v>
      </c>
      <c r="H5" s="33">
        <f t="shared" si="0"/>
        <v>114</v>
      </c>
      <c r="I5" s="33">
        <f t="shared" si="0"/>
        <v>106</v>
      </c>
      <c r="J5" s="33">
        <f t="shared" si="0"/>
        <v>106</v>
      </c>
      <c r="K5" s="33">
        <f t="shared" si="0"/>
        <v>104</v>
      </c>
      <c r="L5" s="33">
        <f t="shared" si="0"/>
        <v>104</v>
      </c>
      <c r="M5" s="33">
        <f t="shared" si="0"/>
        <v>106</v>
      </c>
      <c r="N5" s="33">
        <f t="shared" si="0"/>
        <v>106</v>
      </c>
      <c r="O5" s="33">
        <f t="shared" si="0"/>
        <v>110</v>
      </c>
      <c r="P5" s="43">
        <f>O8</f>
        <v>110</v>
      </c>
      <c r="Q5" s="33">
        <f>P8</f>
        <v>111</v>
      </c>
      <c r="R5" s="33">
        <f>Q8</f>
        <v>116</v>
      </c>
      <c r="S5" s="33">
        <f t="shared" ref="S5:AQ5" si="1">R8</f>
        <v>124</v>
      </c>
      <c r="T5" s="33">
        <f t="shared" si="1"/>
        <v>123</v>
      </c>
      <c r="U5" s="33">
        <f t="shared" si="1"/>
        <v>123</v>
      </c>
      <c r="V5" s="33">
        <f t="shared" si="1"/>
        <v>132</v>
      </c>
      <c r="W5" s="33">
        <f t="shared" si="1"/>
        <v>141</v>
      </c>
      <c r="X5" s="33">
        <f t="shared" si="1"/>
        <v>141</v>
      </c>
      <c r="Y5" s="33">
        <f t="shared" si="1"/>
        <v>140</v>
      </c>
      <c r="Z5" s="33">
        <f t="shared" si="1"/>
        <v>140</v>
      </c>
      <c r="AA5" s="33">
        <f t="shared" si="1"/>
        <v>105</v>
      </c>
      <c r="AB5" s="33">
        <f t="shared" si="1"/>
        <v>106</v>
      </c>
      <c r="AC5" s="33">
        <f t="shared" si="1"/>
        <v>106</v>
      </c>
      <c r="AD5" s="33">
        <f t="shared" si="1"/>
        <v>106</v>
      </c>
      <c r="AE5" s="33">
        <f t="shared" si="1"/>
        <v>106</v>
      </c>
      <c r="AF5" s="33">
        <f t="shared" si="1"/>
        <v>106</v>
      </c>
      <c r="AG5" s="33">
        <f t="shared" si="1"/>
        <v>106</v>
      </c>
      <c r="AH5" s="33">
        <f t="shared" si="1"/>
        <v>106</v>
      </c>
      <c r="AI5" s="33">
        <f t="shared" si="1"/>
        <v>106</v>
      </c>
      <c r="AJ5" s="33">
        <f t="shared" si="1"/>
        <v>107</v>
      </c>
      <c r="AK5" s="33">
        <f t="shared" si="1"/>
        <v>108</v>
      </c>
      <c r="AL5" s="33">
        <f t="shared" si="1"/>
        <v>108</v>
      </c>
      <c r="AM5" s="33">
        <f t="shared" si="1"/>
        <v>108</v>
      </c>
      <c r="AN5" s="33">
        <f t="shared" si="1"/>
        <v>108</v>
      </c>
      <c r="AO5" s="33">
        <f t="shared" si="1"/>
        <v>107</v>
      </c>
      <c r="AP5" s="33">
        <f t="shared" si="1"/>
        <v>107</v>
      </c>
      <c r="AQ5" s="33">
        <f t="shared" si="1"/>
        <v>107</v>
      </c>
      <c r="AR5" s="33">
        <v>106</v>
      </c>
      <c r="AS5" s="33">
        <v>106</v>
      </c>
      <c r="AT5" s="33">
        <v>106</v>
      </c>
      <c r="AU5" s="33">
        <v>106</v>
      </c>
      <c r="AV5" s="33">
        <v>107</v>
      </c>
    </row>
    <row r="6" spans="1:48">
      <c r="A6" s="23" t="s">
        <v>20</v>
      </c>
      <c r="B6" s="44">
        <v>2</v>
      </c>
      <c r="C6" s="44">
        <v>1</v>
      </c>
      <c r="D6" s="44">
        <v>2</v>
      </c>
      <c r="E6" s="44"/>
      <c r="F6" s="44"/>
      <c r="G6" s="44"/>
      <c r="H6" s="44">
        <v>8</v>
      </c>
      <c r="I6" s="44">
        <v>1</v>
      </c>
      <c r="J6" s="44">
        <v>2</v>
      </c>
      <c r="K6" s="44"/>
      <c r="L6" s="44"/>
      <c r="M6" s="44">
        <v>1</v>
      </c>
      <c r="N6" s="44">
        <v>0</v>
      </c>
      <c r="O6" s="44">
        <v>0</v>
      </c>
      <c r="P6" s="45">
        <v>0</v>
      </c>
      <c r="Q6" s="44">
        <v>0</v>
      </c>
      <c r="R6" s="45">
        <v>0</v>
      </c>
      <c r="S6" s="45">
        <v>1</v>
      </c>
      <c r="T6" s="45">
        <v>0</v>
      </c>
      <c r="U6" s="45">
        <v>1</v>
      </c>
      <c r="V6" s="45"/>
      <c r="W6" s="45"/>
      <c r="X6" s="46">
        <v>1</v>
      </c>
      <c r="Y6" s="46"/>
      <c r="Z6" s="46">
        <v>36</v>
      </c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>
        <v>1</v>
      </c>
      <c r="AO6" s="47"/>
      <c r="AP6" s="47"/>
      <c r="AQ6" s="47">
        <v>1</v>
      </c>
      <c r="AR6" s="47"/>
      <c r="AS6" s="47"/>
      <c r="AT6" s="47"/>
      <c r="AU6" s="47"/>
      <c r="AV6" s="47"/>
    </row>
    <row r="7" spans="1:48">
      <c r="A7" s="24" t="s">
        <v>21</v>
      </c>
      <c r="B7" s="48"/>
      <c r="C7" s="48"/>
      <c r="D7" s="48"/>
      <c r="E7" s="48"/>
      <c r="F7" s="48">
        <v>1</v>
      </c>
      <c r="G7" s="48"/>
      <c r="H7" s="48"/>
      <c r="I7" s="48">
        <v>1</v>
      </c>
      <c r="J7" s="48"/>
      <c r="K7" s="48"/>
      <c r="L7" s="48">
        <v>2</v>
      </c>
      <c r="M7" s="48">
        <v>1</v>
      </c>
      <c r="N7" s="48">
        <v>4</v>
      </c>
      <c r="O7" s="48">
        <v>0</v>
      </c>
      <c r="P7" s="49">
        <v>1</v>
      </c>
      <c r="Q7" s="48">
        <v>5</v>
      </c>
      <c r="R7" s="49">
        <v>8</v>
      </c>
      <c r="S7" s="49"/>
      <c r="T7" s="49"/>
      <c r="U7" s="49">
        <v>10</v>
      </c>
      <c r="V7" s="49">
        <v>9</v>
      </c>
      <c r="W7" s="49"/>
      <c r="X7" s="50"/>
      <c r="Y7" s="50"/>
      <c r="Z7" s="50">
        <v>1</v>
      </c>
      <c r="AA7" s="51">
        <v>1</v>
      </c>
      <c r="AB7" s="51"/>
      <c r="AC7" s="51"/>
      <c r="AD7" s="51"/>
      <c r="AE7" s="51"/>
      <c r="AF7" s="51"/>
      <c r="AG7" s="51"/>
      <c r="AH7" s="51"/>
      <c r="AI7" s="51">
        <v>1</v>
      </c>
      <c r="AJ7" s="51">
        <v>1</v>
      </c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>
        <v>1</v>
      </c>
      <c r="AV7" s="51"/>
    </row>
    <row r="8" spans="1:48" ht="17.25" customHeight="1">
      <c r="A8" s="3" t="s">
        <v>22</v>
      </c>
      <c r="B8" s="4">
        <f>B5-B6+B7</f>
        <v>116</v>
      </c>
      <c r="C8" s="4">
        <f t="shared" ref="C8:P8" si="2">C5-C6+C7</f>
        <v>115</v>
      </c>
      <c r="D8" s="4">
        <f t="shared" si="2"/>
        <v>113</v>
      </c>
      <c r="E8" s="4">
        <f t="shared" si="2"/>
        <v>113</v>
      </c>
      <c r="F8" s="4">
        <f t="shared" si="2"/>
        <v>114</v>
      </c>
      <c r="G8" s="4">
        <f t="shared" si="2"/>
        <v>114</v>
      </c>
      <c r="H8" s="4">
        <f t="shared" si="2"/>
        <v>106</v>
      </c>
      <c r="I8" s="4">
        <f t="shared" si="2"/>
        <v>106</v>
      </c>
      <c r="J8" s="4">
        <f t="shared" si="2"/>
        <v>104</v>
      </c>
      <c r="K8" s="4">
        <f t="shared" si="2"/>
        <v>104</v>
      </c>
      <c r="L8" s="4">
        <f t="shared" si="2"/>
        <v>106</v>
      </c>
      <c r="M8" s="4">
        <f t="shared" si="2"/>
        <v>106</v>
      </c>
      <c r="N8" s="4">
        <f t="shared" si="2"/>
        <v>110</v>
      </c>
      <c r="O8" s="4">
        <f t="shared" si="2"/>
        <v>110</v>
      </c>
      <c r="P8" s="5">
        <f t="shared" si="2"/>
        <v>111</v>
      </c>
      <c r="Q8" s="4">
        <f t="shared" ref="Q8:AN8" si="3">Q5-Q6+Q7</f>
        <v>116</v>
      </c>
      <c r="R8" s="5">
        <f t="shared" si="3"/>
        <v>124</v>
      </c>
      <c r="S8" s="5">
        <f t="shared" si="3"/>
        <v>123</v>
      </c>
      <c r="T8" s="5">
        <f t="shared" si="3"/>
        <v>123</v>
      </c>
      <c r="U8" s="5">
        <f t="shared" si="3"/>
        <v>132</v>
      </c>
      <c r="V8" s="5">
        <f t="shared" si="3"/>
        <v>141</v>
      </c>
      <c r="W8" s="5">
        <f t="shared" si="3"/>
        <v>141</v>
      </c>
      <c r="X8" s="5">
        <f t="shared" si="3"/>
        <v>140</v>
      </c>
      <c r="Y8" s="5">
        <f t="shared" si="3"/>
        <v>140</v>
      </c>
      <c r="Z8" s="5">
        <f t="shared" si="3"/>
        <v>105</v>
      </c>
      <c r="AA8" s="5">
        <f t="shared" si="3"/>
        <v>106</v>
      </c>
      <c r="AB8" s="5">
        <f t="shared" si="3"/>
        <v>106</v>
      </c>
      <c r="AC8" s="5">
        <f t="shared" si="3"/>
        <v>106</v>
      </c>
      <c r="AD8" s="5">
        <f t="shared" si="3"/>
        <v>106</v>
      </c>
      <c r="AE8" s="5">
        <f t="shared" si="3"/>
        <v>106</v>
      </c>
      <c r="AF8" s="5">
        <f t="shared" si="3"/>
        <v>106</v>
      </c>
      <c r="AG8" s="5">
        <f t="shared" si="3"/>
        <v>106</v>
      </c>
      <c r="AH8" s="5">
        <f t="shared" si="3"/>
        <v>106</v>
      </c>
      <c r="AI8" s="5">
        <f t="shared" si="3"/>
        <v>107</v>
      </c>
      <c r="AJ8" s="5">
        <f t="shared" si="3"/>
        <v>108</v>
      </c>
      <c r="AK8" s="5">
        <f t="shared" si="3"/>
        <v>108</v>
      </c>
      <c r="AL8" s="5">
        <f t="shared" si="3"/>
        <v>108</v>
      </c>
      <c r="AM8" s="5">
        <f t="shared" si="3"/>
        <v>108</v>
      </c>
      <c r="AN8" s="5">
        <f t="shared" si="3"/>
        <v>107</v>
      </c>
      <c r="AO8" s="5">
        <f t="shared" ref="AO8:AP8" si="4">AO5-AO6+AO7</f>
        <v>107</v>
      </c>
      <c r="AP8" s="5">
        <f t="shared" si="4"/>
        <v>107</v>
      </c>
      <c r="AQ8" s="5">
        <f t="shared" ref="AQ8:AR8" si="5">AQ5-AQ6+AQ7</f>
        <v>106</v>
      </c>
      <c r="AR8" s="5">
        <f t="shared" si="5"/>
        <v>106</v>
      </c>
      <c r="AS8" s="5">
        <f t="shared" ref="AS8:AT8" si="6">AS5-AS6+AS7</f>
        <v>106</v>
      </c>
      <c r="AT8" s="5">
        <f t="shared" si="6"/>
        <v>106</v>
      </c>
      <c r="AU8" s="5">
        <f t="shared" ref="AU8:AV8" si="7">AU5-AU6+AU7</f>
        <v>107</v>
      </c>
      <c r="AV8" s="5">
        <f t="shared" si="7"/>
        <v>107</v>
      </c>
    </row>
    <row r="9" spans="1:48">
      <c r="C9"/>
      <c r="D9"/>
      <c r="U9" s="1"/>
      <c r="Y9" s="1"/>
      <c r="AA9" s="8"/>
    </row>
    <row r="10" spans="1:48" ht="20.25" thickBot="1">
      <c r="A10" s="9" t="s">
        <v>23</v>
      </c>
      <c r="C10"/>
      <c r="D10"/>
      <c r="Y10" s="1"/>
      <c r="AA10" s="8"/>
    </row>
    <row r="11" spans="1:48" ht="18" thickBot="1">
      <c r="A11" s="27" t="s">
        <v>69</v>
      </c>
      <c r="B11" s="27" t="s">
        <v>2</v>
      </c>
      <c r="C11" s="31" t="s">
        <v>24</v>
      </c>
      <c r="D11" s="32" t="s">
        <v>25</v>
      </c>
      <c r="Y11" s="1"/>
      <c r="AA11" s="8"/>
    </row>
    <row r="12" spans="1:48" s="14" customFormat="1">
      <c r="A12" s="10" t="s">
        <v>3</v>
      </c>
      <c r="B12" s="11" t="s">
        <v>20</v>
      </c>
      <c r="C12" s="68">
        <v>2</v>
      </c>
      <c r="D12" s="12" t="s">
        <v>124</v>
      </c>
      <c r="V12" s="1"/>
      <c r="W12" s="1"/>
      <c r="Y12" s="20"/>
      <c r="AA12" s="21"/>
    </row>
    <row r="13" spans="1:48" s="14" customFormat="1">
      <c r="A13" s="13" t="s">
        <v>4</v>
      </c>
      <c r="B13" s="11" t="s">
        <v>20</v>
      </c>
      <c r="C13" s="68">
        <v>1</v>
      </c>
      <c r="D13" s="12" t="s">
        <v>125</v>
      </c>
      <c r="V13" s="1"/>
      <c r="W13" s="1"/>
    </row>
    <row r="14" spans="1:48" s="14" customFormat="1">
      <c r="A14" s="13" t="s">
        <v>5</v>
      </c>
      <c r="B14" s="11" t="s">
        <v>20</v>
      </c>
      <c r="C14" s="68">
        <v>2</v>
      </c>
      <c r="D14" s="12" t="s">
        <v>141</v>
      </c>
      <c r="V14" s="1"/>
      <c r="W14" s="1"/>
    </row>
    <row r="15" spans="1:48" s="14" customFormat="1">
      <c r="A15" s="13" t="s">
        <v>7</v>
      </c>
      <c r="B15" s="11" t="s">
        <v>21</v>
      </c>
      <c r="C15" s="68">
        <v>1</v>
      </c>
      <c r="D15" s="12" t="s">
        <v>36</v>
      </c>
      <c r="V15" s="1"/>
      <c r="W15" s="1"/>
    </row>
    <row r="16" spans="1:48" s="14" customFormat="1">
      <c r="A16" s="13" t="s">
        <v>9</v>
      </c>
      <c r="B16" s="11" t="s">
        <v>20</v>
      </c>
      <c r="C16" s="68">
        <v>8</v>
      </c>
      <c r="D16" s="12" t="s">
        <v>129</v>
      </c>
      <c r="V16" s="1"/>
      <c r="W16" s="1"/>
    </row>
    <row r="17" spans="1:23" s="14" customFormat="1">
      <c r="A17" s="13" t="s">
        <v>10</v>
      </c>
      <c r="B17" s="11" t="s">
        <v>20</v>
      </c>
      <c r="C17" s="68">
        <v>1</v>
      </c>
      <c r="D17" s="12" t="s">
        <v>122</v>
      </c>
      <c r="V17" s="1"/>
      <c r="W17" s="1"/>
    </row>
    <row r="18" spans="1:23" s="14" customFormat="1">
      <c r="A18" s="13" t="s">
        <v>10</v>
      </c>
      <c r="B18" s="11" t="s">
        <v>21</v>
      </c>
      <c r="C18" s="68">
        <v>1</v>
      </c>
      <c r="D18" s="12" t="s">
        <v>123</v>
      </c>
      <c r="V18" s="1"/>
      <c r="W18" s="1"/>
    </row>
    <row r="19" spans="1:23" s="14" customFormat="1">
      <c r="A19" s="13" t="s">
        <v>11</v>
      </c>
      <c r="B19" s="11" t="s">
        <v>20</v>
      </c>
      <c r="C19" s="68">
        <v>2</v>
      </c>
      <c r="D19" s="12" t="s">
        <v>37</v>
      </c>
      <c r="V19" s="1"/>
      <c r="W19" s="1"/>
    </row>
    <row r="20" spans="1:23" s="14" customFormat="1">
      <c r="A20" s="13" t="s">
        <v>13</v>
      </c>
      <c r="B20" s="11" t="s">
        <v>21</v>
      </c>
      <c r="C20" s="68">
        <v>2</v>
      </c>
      <c r="D20" s="12" t="s">
        <v>38</v>
      </c>
      <c r="V20" s="1"/>
      <c r="W20" s="1"/>
    </row>
    <row r="21" spans="1:23" s="14" customFormat="1">
      <c r="A21" s="13" t="s">
        <v>14</v>
      </c>
      <c r="B21" s="11" t="s">
        <v>20</v>
      </c>
      <c r="C21" s="69">
        <v>1</v>
      </c>
      <c r="D21" s="12" t="s">
        <v>39</v>
      </c>
      <c r="E21" s="20"/>
      <c r="F21" s="20"/>
      <c r="G21" s="20"/>
      <c r="H21" s="20"/>
      <c r="I21" s="20"/>
      <c r="J21" s="20"/>
      <c r="K21" s="20"/>
      <c r="L21" s="20"/>
      <c r="V21" s="1"/>
      <c r="W21" s="1"/>
    </row>
    <row r="22" spans="1:23" s="14" customFormat="1">
      <c r="A22" s="13" t="s">
        <v>14</v>
      </c>
      <c r="B22" s="11" t="s">
        <v>21</v>
      </c>
      <c r="C22" s="69">
        <v>1</v>
      </c>
      <c r="D22" s="12" t="s">
        <v>40</v>
      </c>
      <c r="E22" s="20"/>
      <c r="F22" s="20"/>
      <c r="G22" s="20"/>
      <c r="H22" s="20"/>
      <c r="I22" s="20"/>
      <c r="J22" s="20"/>
      <c r="K22" s="20"/>
      <c r="L22" s="20"/>
      <c r="V22" s="1"/>
      <c r="W22" s="1"/>
    </row>
    <row r="23" spans="1:23" s="14" customFormat="1">
      <c r="A23" s="13" t="s">
        <v>15</v>
      </c>
      <c r="B23" s="11" t="s">
        <v>21</v>
      </c>
      <c r="C23" s="69">
        <v>4</v>
      </c>
      <c r="D23" s="61" t="s">
        <v>42</v>
      </c>
      <c r="V23" s="1"/>
      <c r="W23" s="1"/>
    </row>
    <row r="24" spans="1:23">
      <c r="A24" s="13" t="s">
        <v>17</v>
      </c>
      <c r="B24" s="11" t="s">
        <v>21</v>
      </c>
      <c r="C24" s="69">
        <v>1</v>
      </c>
      <c r="D24" s="62" t="s">
        <v>43</v>
      </c>
      <c r="E24" s="22"/>
      <c r="F24" s="22"/>
      <c r="G24" s="22"/>
    </row>
    <row r="25" spans="1:23">
      <c r="A25" s="13" t="s">
        <v>18</v>
      </c>
      <c r="B25" s="11" t="s">
        <v>21</v>
      </c>
      <c r="C25" s="69">
        <v>5</v>
      </c>
      <c r="D25" s="58" t="s">
        <v>44</v>
      </c>
    </row>
    <row r="26" spans="1:23">
      <c r="A26" s="13" t="s">
        <v>100</v>
      </c>
      <c r="B26" s="11" t="s">
        <v>21</v>
      </c>
      <c r="C26" s="69">
        <v>8</v>
      </c>
      <c r="D26" s="63" t="s">
        <v>45</v>
      </c>
    </row>
    <row r="27" spans="1:23">
      <c r="A27" s="13" t="s">
        <v>99</v>
      </c>
      <c r="B27" s="11" t="s">
        <v>41</v>
      </c>
      <c r="C27" s="69">
        <v>1</v>
      </c>
      <c r="D27" s="58" t="s">
        <v>46</v>
      </c>
    </row>
    <row r="28" spans="1:23">
      <c r="A28" s="13" t="s">
        <v>75</v>
      </c>
      <c r="B28" s="11" t="s">
        <v>21</v>
      </c>
      <c r="C28" s="70">
        <v>10</v>
      </c>
      <c r="D28" s="62" t="s">
        <v>47</v>
      </c>
    </row>
    <row r="29" spans="1:23">
      <c r="A29" s="13" t="s">
        <v>75</v>
      </c>
      <c r="B29" s="11" t="s">
        <v>41</v>
      </c>
      <c r="C29" s="71">
        <v>1</v>
      </c>
      <c r="D29" s="58" t="s">
        <v>48</v>
      </c>
    </row>
    <row r="30" spans="1:23">
      <c r="A30" s="13" t="s">
        <v>101</v>
      </c>
      <c r="B30" s="11" t="s">
        <v>21</v>
      </c>
      <c r="C30" s="71">
        <v>9</v>
      </c>
      <c r="D30" s="57" t="s">
        <v>49</v>
      </c>
      <c r="E30" s="15"/>
      <c r="F30" s="15"/>
      <c r="G30" s="15"/>
      <c r="H30" s="15"/>
      <c r="I30" s="15"/>
      <c r="J30" s="15"/>
      <c r="K30" s="15"/>
    </row>
    <row r="31" spans="1:23">
      <c r="A31" s="13" t="s">
        <v>103</v>
      </c>
      <c r="B31" s="11" t="s">
        <v>41</v>
      </c>
      <c r="C31" s="70">
        <v>1</v>
      </c>
      <c r="D31" s="64" t="s">
        <v>51</v>
      </c>
      <c r="E31" s="16"/>
      <c r="F31" s="16"/>
      <c r="G31" s="16"/>
      <c r="H31" s="15"/>
      <c r="I31" s="15"/>
      <c r="J31" s="15"/>
      <c r="K31" s="15"/>
    </row>
    <row r="32" spans="1:23">
      <c r="A32" s="13" t="s">
        <v>104</v>
      </c>
      <c r="B32" s="11" t="s">
        <v>41</v>
      </c>
      <c r="C32" s="71">
        <v>36</v>
      </c>
      <c r="D32" s="57" t="s">
        <v>52</v>
      </c>
      <c r="E32" s="15"/>
      <c r="F32" s="15"/>
      <c r="G32" s="15"/>
      <c r="H32" s="15"/>
      <c r="I32" s="15"/>
      <c r="J32" s="15"/>
      <c r="K32" s="15"/>
    </row>
    <row r="33" spans="1:11">
      <c r="A33" s="13" t="s">
        <v>104</v>
      </c>
      <c r="B33" s="11" t="s">
        <v>50</v>
      </c>
      <c r="C33" s="71">
        <v>1</v>
      </c>
      <c r="D33" s="57" t="s">
        <v>53</v>
      </c>
      <c r="E33" s="15"/>
      <c r="F33" s="15"/>
      <c r="G33" s="15"/>
      <c r="H33" s="15"/>
      <c r="I33" s="15"/>
      <c r="J33" s="15"/>
      <c r="K33" s="15"/>
    </row>
    <row r="34" spans="1:11">
      <c r="A34" s="13" t="s">
        <v>102</v>
      </c>
      <c r="B34" s="11" t="s">
        <v>50</v>
      </c>
      <c r="C34" s="71">
        <v>1</v>
      </c>
      <c r="D34" s="57" t="s">
        <v>54</v>
      </c>
    </row>
    <row r="35" spans="1:11">
      <c r="A35" s="13" t="s">
        <v>135</v>
      </c>
      <c r="B35" s="11" t="s">
        <v>50</v>
      </c>
      <c r="C35" s="71">
        <v>1</v>
      </c>
      <c r="D35" s="77" t="s">
        <v>136</v>
      </c>
    </row>
    <row r="36" spans="1:11">
      <c r="A36" s="13" t="s">
        <v>137</v>
      </c>
      <c r="B36" s="11" t="s">
        <v>50</v>
      </c>
      <c r="C36" s="71">
        <v>1</v>
      </c>
      <c r="D36" s="58" t="s">
        <v>139</v>
      </c>
    </row>
    <row r="37" spans="1:11">
      <c r="A37" s="13" t="s">
        <v>145</v>
      </c>
      <c r="B37" s="11" t="s">
        <v>41</v>
      </c>
      <c r="C37" s="33">
        <v>1</v>
      </c>
      <c r="D37" s="12" t="s">
        <v>146</v>
      </c>
    </row>
    <row r="38" spans="1:11">
      <c r="A38" s="13" t="s">
        <v>152</v>
      </c>
      <c r="B38" s="11" t="s">
        <v>41</v>
      </c>
      <c r="C38" s="33">
        <v>1</v>
      </c>
      <c r="D38" s="64" t="s">
        <v>153</v>
      </c>
    </row>
    <row r="39" spans="1:11">
      <c r="A39" s="83" t="s">
        <v>159</v>
      </c>
      <c r="B39" s="84" t="s">
        <v>50</v>
      </c>
      <c r="C39" s="71">
        <v>1</v>
      </c>
      <c r="D39" t="s">
        <v>162</v>
      </c>
    </row>
  </sheetData>
  <phoneticPr fontId="2" type="noConversion"/>
  <conditionalFormatting sqref="B12:B35 B40:B1048576">
    <cfRule type="cellIs" dxfId="37" priority="9" operator="equal">
      <formula>"증가"</formula>
    </cfRule>
    <cfRule type="cellIs" dxfId="36" priority="10" operator="equal">
      <formula>"감소"</formula>
    </cfRule>
  </conditionalFormatting>
  <conditionalFormatting sqref="B36">
    <cfRule type="cellIs" dxfId="35" priority="7" operator="equal">
      <formula>"증가"</formula>
    </cfRule>
    <cfRule type="cellIs" dxfId="34" priority="8" operator="equal">
      <formula>"감소"</formula>
    </cfRule>
  </conditionalFormatting>
  <conditionalFormatting sqref="B37">
    <cfRule type="cellIs" dxfId="33" priority="5" operator="equal">
      <formula>"증가"</formula>
    </cfRule>
    <cfRule type="cellIs" dxfId="32" priority="6" operator="equal">
      <formula>"감소"</formula>
    </cfRule>
  </conditionalFormatting>
  <conditionalFormatting sqref="B38">
    <cfRule type="cellIs" dxfId="31" priority="3" operator="equal">
      <formula>"증가"</formula>
    </cfRule>
    <cfRule type="cellIs" dxfId="30" priority="4" operator="equal">
      <formula>"감소"</formula>
    </cfRule>
  </conditionalFormatting>
  <conditionalFormatting sqref="B39">
    <cfRule type="cellIs" dxfId="29" priority="1" operator="equal">
      <formula>"증가"</formula>
    </cfRule>
    <cfRule type="cellIs" dxfId="28" priority="2" operator="equal">
      <formula>"감소"</formula>
    </cfRule>
  </conditionalFormatting>
  <dataValidations count="1">
    <dataValidation type="list" allowBlank="1" showInputMessage="1" showErrorMessage="1" sqref="B12:B36 B39:B1048576" xr:uid="{00000000-0002-0000-0100-000000000000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'D:\kdic\Desktop\★업무\3. 예보법 21조 통계_부보금융회사 변동 통계\2024년\24.3월\2. 취합\[(붙임2) (24.3월말기준) 부보금융회사 변동 현황(금투리스크관리부).xlsx]현황표'!#REF!</xm:f>
          </x14:formula1>
          <xm:sqref>B37:B38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2"/>
  <sheetViews>
    <sheetView workbookViewId="0">
      <pane xSplit="10" topLeftCell="AG1" activePane="topRight" state="frozen"/>
      <selection pane="topRight" activeCell="AR17" sqref="AR17"/>
    </sheetView>
  </sheetViews>
  <sheetFormatPr defaultColWidth="9" defaultRowHeight="16.5"/>
  <cols>
    <col min="1" max="1" width="15.375" customWidth="1"/>
    <col min="2" max="2" width="9" style="55"/>
  </cols>
  <sheetData>
    <row r="1" spans="1:47" s="41" customFormat="1" ht="26.25">
      <c r="A1" s="40" t="s">
        <v>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47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47">
      <c r="A3" t="s">
        <v>1</v>
      </c>
      <c r="B3"/>
    </row>
    <row r="4" spans="1:47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81</v>
      </c>
      <c r="S4" s="27" t="s">
        <v>99</v>
      </c>
      <c r="T4" s="27" t="s">
        <v>73</v>
      </c>
      <c r="U4" s="27" t="s">
        <v>75</v>
      </c>
      <c r="V4" s="27" t="s">
        <v>101</v>
      </c>
      <c r="W4" s="28" t="s">
        <v>77</v>
      </c>
      <c r="X4" s="28" t="s">
        <v>85</v>
      </c>
      <c r="Y4" s="28" t="s">
        <v>87</v>
      </c>
      <c r="Z4" s="28" t="s">
        <v>89</v>
      </c>
      <c r="AA4" s="28" t="s">
        <v>91</v>
      </c>
      <c r="AB4" s="28" t="s">
        <v>92</v>
      </c>
      <c r="AC4" s="28" t="s">
        <v>94</v>
      </c>
      <c r="AD4" s="28" t="s">
        <v>127</v>
      </c>
      <c r="AE4" s="28" t="s">
        <v>130</v>
      </c>
      <c r="AF4" s="29" t="s">
        <v>131</v>
      </c>
      <c r="AG4" s="29" t="s">
        <v>133</v>
      </c>
      <c r="AH4" s="29" t="s">
        <v>135</v>
      </c>
      <c r="AI4" s="29" t="s">
        <v>137</v>
      </c>
      <c r="AJ4" s="29" t="s">
        <v>142</v>
      </c>
      <c r="AK4" s="29" t="s">
        <v>143</v>
      </c>
      <c r="AL4" s="29" t="s">
        <v>144</v>
      </c>
      <c r="AM4" s="29" t="s">
        <v>145</v>
      </c>
      <c r="AN4" s="29" t="s">
        <v>148</v>
      </c>
      <c r="AO4" s="29" t="s">
        <v>150</v>
      </c>
      <c r="AP4" s="29" t="s">
        <v>152</v>
      </c>
      <c r="AQ4" s="29" t="s">
        <v>155</v>
      </c>
      <c r="AR4" s="29" t="s">
        <v>156</v>
      </c>
      <c r="AS4" s="29" t="s">
        <v>157</v>
      </c>
      <c r="AT4" s="29" t="s">
        <v>159</v>
      </c>
      <c r="AU4" s="29" t="s">
        <v>163</v>
      </c>
    </row>
    <row r="5" spans="1:47" ht="16.5" customHeight="1">
      <c r="A5" s="3" t="s">
        <v>19</v>
      </c>
      <c r="B5" s="33">
        <v>1</v>
      </c>
      <c r="C5" s="33">
        <f>B8</f>
        <v>1</v>
      </c>
      <c r="D5" s="33">
        <f t="shared" ref="D5:AU5" si="0">C8</f>
        <v>1</v>
      </c>
      <c r="E5" s="33">
        <f t="shared" si="0"/>
        <v>1</v>
      </c>
      <c r="F5" s="33">
        <f t="shared" si="0"/>
        <v>1</v>
      </c>
      <c r="G5" s="33">
        <f t="shared" si="0"/>
        <v>1</v>
      </c>
      <c r="H5" s="33">
        <f t="shared" si="0"/>
        <v>1</v>
      </c>
      <c r="I5" s="33">
        <f t="shared" si="0"/>
        <v>1</v>
      </c>
      <c r="J5" s="33">
        <f t="shared" si="0"/>
        <v>1</v>
      </c>
      <c r="K5" s="33">
        <f t="shared" si="0"/>
        <v>1</v>
      </c>
      <c r="L5" s="33">
        <f t="shared" si="0"/>
        <v>1</v>
      </c>
      <c r="M5" s="33">
        <f t="shared" si="0"/>
        <v>1</v>
      </c>
      <c r="N5" s="33">
        <f t="shared" si="0"/>
        <v>1</v>
      </c>
      <c r="O5" s="33">
        <f t="shared" si="0"/>
        <v>1</v>
      </c>
      <c r="P5" s="33">
        <f t="shared" si="0"/>
        <v>1</v>
      </c>
      <c r="Q5" s="33">
        <f t="shared" si="0"/>
        <v>1</v>
      </c>
      <c r="R5" s="43">
        <f t="shared" si="0"/>
        <v>1</v>
      </c>
      <c r="S5" s="43">
        <f t="shared" si="0"/>
        <v>1</v>
      </c>
      <c r="T5" s="43">
        <f t="shared" si="0"/>
        <v>1</v>
      </c>
      <c r="U5" s="43">
        <f t="shared" si="0"/>
        <v>1</v>
      </c>
      <c r="V5" s="43">
        <f t="shared" si="0"/>
        <v>1</v>
      </c>
      <c r="W5" s="43">
        <f t="shared" si="0"/>
        <v>1</v>
      </c>
      <c r="X5" s="43">
        <f t="shared" si="0"/>
        <v>1</v>
      </c>
      <c r="Y5" s="43">
        <f t="shared" si="0"/>
        <v>1</v>
      </c>
      <c r="Z5" s="43">
        <f t="shared" si="0"/>
        <v>1</v>
      </c>
      <c r="AA5" s="43">
        <f t="shared" si="0"/>
        <v>1</v>
      </c>
      <c r="AB5" s="43">
        <f t="shared" si="0"/>
        <v>1</v>
      </c>
      <c r="AC5" s="43">
        <f t="shared" si="0"/>
        <v>1</v>
      </c>
      <c r="AD5" s="43">
        <f t="shared" si="0"/>
        <v>1</v>
      </c>
      <c r="AE5" s="43">
        <f t="shared" si="0"/>
        <v>1</v>
      </c>
      <c r="AF5" s="43">
        <f t="shared" si="0"/>
        <v>1</v>
      </c>
      <c r="AG5" s="43">
        <f t="shared" si="0"/>
        <v>1</v>
      </c>
      <c r="AH5" s="43">
        <f t="shared" si="0"/>
        <v>1</v>
      </c>
      <c r="AI5" s="43">
        <f t="shared" si="0"/>
        <v>1</v>
      </c>
      <c r="AJ5" s="43">
        <f t="shared" si="0"/>
        <v>1</v>
      </c>
      <c r="AK5" s="43">
        <f t="shared" si="0"/>
        <v>1</v>
      </c>
      <c r="AL5" s="43">
        <f t="shared" si="0"/>
        <v>1</v>
      </c>
      <c r="AM5" s="43">
        <f t="shared" si="0"/>
        <v>1</v>
      </c>
      <c r="AN5" s="43">
        <f t="shared" si="0"/>
        <v>1</v>
      </c>
      <c r="AO5" s="43">
        <f t="shared" si="0"/>
        <v>1</v>
      </c>
      <c r="AP5" s="43">
        <f t="shared" si="0"/>
        <v>0</v>
      </c>
      <c r="AQ5" s="43">
        <f t="shared" si="0"/>
        <v>0</v>
      </c>
      <c r="AR5" s="43">
        <f t="shared" si="0"/>
        <v>0</v>
      </c>
      <c r="AS5" s="43">
        <f t="shared" si="0"/>
        <v>0</v>
      </c>
      <c r="AT5" s="43">
        <f t="shared" si="0"/>
        <v>0</v>
      </c>
      <c r="AU5" s="43">
        <f t="shared" si="0"/>
        <v>0</v>
      </c>
    </row>
    <row r="6" spans="1:47">
      <c r="A6" s="23" t="s">
        <v>20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>
        <v>1</v>
      </c>
      <c r="AP6" s="45"/>
      <c r="AQ6" s="45"/>
      <c r="AR6" s="45"/>
      <c r="AS6" s="45"/>
      <c r="AT6" s="45"/>
      <c r="AU6" s="45"/>
    </row>
    <row r="7" spans="1:47">
      <c r="A7" s="24" t="s">
        <v>21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</row>
    <row r="8" spans="1:47" ht="17.25" customHeight="1">
      <c r="A8" s="3" t="s">
        <v>22</v>
      </c>
      <c r="B8" s="4">
        <f>B5-B6+B7</f>
        <v>1</v>
      </c>
      <c r="C8" s="4">
        <f t="shared" ref="C8:AC8" si="1">C5-C6+C7</f>
        <v>1</v>
      </c>
      <c r="D8" s="4">
        <f t="shared" si="1"/>
        <v>1</v>
      </c>
      <c r="E8" s="4">
        <f t="shared" si="1"/>
        <v>1</v>
      </c>
      <c r="F8" s="4">
        <f t="shared" si="1"/>
        <v>1</v>
      </c>
      <c r="G8" s="4">
        <f t="shared" si="1"/>
        <v>1</v>
      </c>
      <c r="H8" s="4">
        <f t="shared" si="1"/>
        <v>1</v>
      </c>
      <c r="I8" s="4">
        <f t="shared" si="1"/>
        <v>1</v>
      </c>
      <c r="J8" s="4">
        <f t="shared" si="1"/>
        <v>1</v>
      </c>
      <c r="K8" s="4">
        <f t="shared" si="1"/>
        <v>1</v>
      </c>
      <c r="L8" s="4">
        <f t="shared" si="1"/>
        <v>1</v>
      </c>
      <c r="M8" s="4">
        <f t="shared" si="1"/>
        <v>1</v>
      </c>
      <c r="N8" s="4">
        <f t="shared" si="1"/>
        <v>1</v>
      </c>
      <c r="O8" s="4">
        <f t="shared" si="1"/>
        <v>1</v>
      </c>
      <c r="P8" s="4">
        <f t="shared" si="1"/>
        <v>1</v>
      </c>
      <c r="Q8" s="4">
        <f t="shared" si="1"/>
        <v>1</v>
      </c>
      <c r="R8" s="5">
        <f t="shared" si="1"/>
        <v>1</v>
      </c>
      <c r="S8" s="5">
        <f t="shared" si="1"/>
        <v>1</v>
      </c>
      <c r="T8" s="5">
        <f t="shared" si="1"/>
        <v>1</v>
      </c>
      <c r="U8" s="5">
        <f t="shared" si="1"/>
        <v>1</v>
      </c>
      <c r="V8" s="5">
        <f t="shared" si="1"/>
        <v>1</v>
      </c>
      <c r="W8" s="5">
        <f t="shared" si="1"/>
        <v>1</v>
      </c>
      <c r="X8" s="5">
        <f t="shared" si="1"/>
        <v>1</v>
      </c>
      <c r="Y8" s="5">
        <f t="shared" si="1"/>
        <v>1</v>
      </c>
      <c r="Z8" s="5">
        <f t="shared" si="1"/>
        <v>1</v>
      </c>
      <c r="AA8" s="5">
        <f t="shared" si="1"/>
        <v>1</v>
      </c>
      <c r="AB8" s="5">
        <f t="shared" si="1"/>
        <v>1</v>
      </c>
      <c r="AC8" s="5">
        <f t="shared" si="1"/>
        <v>1</v>
      </c>
      <c r="AD8" s="5">
        <f t="shared" ref="AD8:AM8" si="2">AD5-AD6+AD7</f>
        <v>1</v>
      </c>
      <c r="AE8" s="5">
        <f t="shared" si="2"/>
        <v>1</v>
      </c>
      <c r="AF8" s="5">
        <f t="shared" si="2"/>
        <v>1</v>
      </c>
      <c r="AG8" s="5">
        <f t="shared" si="2"/>
        <v>1</v>
      </c>
      <c r="AH8" s="5">
        <f t="shared" si="2"/>
        <v>1</v>
      </c>
      <c r="AI8" s="5">
        <f t="shared" si="2"/>
        <v>1</v>
      </c>
      <c r="AJ8" s="5">
        <f t="shared" si="2"/>
        <v>1</v>
      </c>
      <c r="AK8" s="5">
        <f t="shared" si="2"/>
        <v>1</v>
      </c>
      <c r="AL8" s="5">
        <f t="shared" si="2"/>
        <v>1</v>
      </c>
      <c r="AM8" s="5">
        <f t="shared" si="2"/>
        <v>1</v>
      </c>
      <c r="AN8" s="5">
        <f t="shared" ref="AN8:AO8" si="3">AN5-AN6+AN7</f>
        <v>1</v>
      </c>
      <c r="AO8" s="5">
        <f t="shared" si="3"/>
        <v>0</v>
      </c>
      <c r="AP8" s="5">
        <f t="shared" ref="AP8:AQ8" si="4">AP5-AP6+AP7</f>
        <v>0</v>
      </c>
      <c r="AQ8" s="5">
        <f t="shared" si="4"/>
        <v>0</v>
      </c>
      <c r="AR8" s="5">
        <f t="shared" ref="AR8:AS8" si="5">AR5-AR6+AR7</f>
        <v>0</v>
      </c>
      <c r="AS8" s="5">
        <f t="shared" si="5"/>
        <v>0</v>
      </c>
      <c r="AT8" s="5">
        <f t="shared" ref="AT8:AU8" si="6">AT5-AT6+AT7</f>
        <v>0</v>
      </c>
      <c r="AU8" s="5">
        <f t="shared" si="6"/>
        <v>0</v>
      </c>
    </row>
    <row r="9" spans="1:47">
      <c r="B9"/>
    </row>
    <row r="10" spans="1:47" ht="20.25" thickBot="1">
      <c r="A10" s="9" t="s">
        <v>23</v>
      </c>
      <c r="B10"/>
    </row>
    <row r="11" spans="1:47" ht="17.25">
      <c r="A11" s="27" t="s">
        <v>69</v>
      </c>
      <c r="B11" s="65" t="s">
        <v>2</v>
      </c>
      <c r="C11" s="66" t="s">
        <v>24</v>
      </c>
      <c r="D11" s="67" t="s">
        <v>25</v>
      </c>
    </row>
    <row r="12" spans="1:47">
      <c r="A12" s="13" t="s">
        <v>150</v>
      </c>
      <c r="B12" s="11" t="s">
        <v>41</v>
      </c>
      <c r="C12" s="33">
        <v>1</v>
      </c>
      <c r="D12" s="12" t="s">
        <v>151</v>
      </c>
    </row>
  </sheetData>
  <autoFilter ref="A11:D11" xr:uid="{00000000-0009-0000-0000-000002000000}"/>
  <phoneticPr fontId="2" type="noConversion"/>
  <conditionalFormatting sqref="B13:B1048576">
    <cfRule type="cellIs" dxfId="27" priority="3" operator="equal">
      <formula>"감소"</formula>
    </cfRule>
    <cfRule type="cellIs" dxfId="26" priority="4" operator="equal">
      <formula>"증가"</formula>
    </cfRule>
  </conditionalFormatting>
  <conditionalFormatting sqref="B12">
    <cfRule type="cellIs" dxfId="25" priority="1" operator="equal">
      <formula>"증가"</formula>
    </cfRule>
    <cfRule type="cellIs" dxfId="24" priority="2" operator="equal">
      <formula>"감소"</formula>
    </cfRule>
  </conditionalFormatting>
  <dataValidations count="1">
    <dataValidation type="list" allowBlank="1" showInputMessage="1" showErrorMessage="1" sqref="B13:B1048576" xr:uid="{00000000-0002-0000-02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'D:\kdic\Desktop\★업무\3. 예보법 21조 통계_부보금융회사 변동 통계\2024년\24.3월\2. 취합\[(붙임2) (24.3월말기준) 부보금융회사 변동 현황(금투리스크관리부).xlsx]현황표'!#REF!</xm:f>
          </x14:formula1>
          <xm:sqref>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4"/>
  <sheetViews>
    <sheetView workbookViewId="0">
      <pane xSplit="10" topLeftCell="AG1" activePane="topRight" state="frozen"/>
      <selection pane="topRight" activeCell="AT17" sqref="AT17"/>
    </sheetView>
  </sheetViews>
  <sheetFormatPr defaultColWidth="9" defaultRowHeight="16.5"/>
  <cols>
    <col min="1" max="1" width="15.375" customWidth="1"/>
    <col min="2" max="2" width="9" style="55"/>
    <col min="3" max="3" width="9" style="35"/>
  </cols>
  <sheetData>
    <row r="1" spans="1:47" s="41" customFormat="1" ht="26.25">
      <c r="A1" s="40" t="s">
        <v>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47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47">
      <c r="A3" t="s">
        <v>1</v>
      </c>
      <c r="B3"/>
      <c r="C3"/>
    </row>
    <row r="4" spans="1:47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81</v>
      </c>
      <c r="S4" s="28" t="s">
        <v>98</v>
      </c>
      <c r="T4" s="28" t="s">
        <v>82</v>
      </c>
      <c r="U4" s="28" t="s">
        <v>83</v>
      </c>
      <c r="V4" s="28" t="s">
        <v>96</v>
      </c>
      <c r="W4" s="28" t="s">
        <v>77</v>
      </c>
      <c r="X4" s="28" t="s">
        <v>85</v>
      </c>
      <c r="Y4" s="28" t="s">
        <v>87</v>
      </c>
      <c r="Z4" s="28" t="s">
        <v>89</v>
      </c>
      <c r="AA4" s="28" t="s">
        <v>91</v>
      </c>
      <c r="AB4" s="53" t="s">
        <v>79</v>
      </c>
      <c r="AC4" s="53" t="s">
        <v>105</v>
      </c>
      <c r="AD4" s="53" t="s">
        <v>127</v>
      </c>
      <c r="AE4" s="53" t="s">
        <v>130</v>
      </c>
      <c r="AF4" s="29" t="s">
        <v>131</v>
      </c>
      <c r="AG4" s="29" t="s">
        <v>133</v>
      </c>
      <c r="AH4" s="29" t="s">
        <v>135</v>
      </c>
      <c r="AI4" s="29" t="s">
        <v>137</v>
      </c>
      <c r="AJ4" s="29" t="s">
        <v>142</v>
      </c>
      <c r="AK4" s="29" t="s">
        <v>143</v>
      </c>
      <c r="AL4" s="29" t="s">
        <v>144</v>
      </c>
      <c r="AM4" s="29" t="s">
        <v>145</v>
      </c>
      <c r="AN4" s="29" t="s">
        <v>148</v>
      </c>
      <c r="AO4" s="29" t="s">
        <v>150</v>
      </c>
      <c r="AP4" s="29" t="s">
        <v>152</v>
      </c>
      <c r="AQ4" s="29" t="s">
        <v>155</v>
      </c>
      <c r="AR4" s="29" t="s">
        <v>156</v>
      </c>
      <c r="AS4" s="29" t="s">
        <v>157</v>
      </c>
      <c r="AT4" s="29" t="s">
        <v>159</v>
      </c>
      <c r="AU4" s="29" t="s">
        <v>163</v>
      </c>
    </row>
    <row r="5" spans="1:47" ht="16.5" customHeight="1">
      <c r="A5" s="3" t="s">
        <v>19</v>
      </c>
      <c r="B5" s="33">
        <v>25</v>
      </c>
      <c r="C5" s="33">
        <f>B8</f>
        <v>25</v>
      </c>
      <c r="D5" s="33">
        <f t="shared" ref="D5:AP5" si="0">C8</f>
        <v>25</v>
      </c>
      <c r="E5" s="33">
        <f t="shared" si="0"/>
        <v>25</v>
      </c>
      <c r="F5" s="33">
        <f t="shared" si="0"/>
        <v>25</v>
      </c>
      <c r="G5" s="33">
        <f t="shared" si="0"/>
        <v>25</v>
      </c>
      <c r="H5" s="33">
        <f t="shared" si="0"/>
        <v>25</v>
      </c>
      <c r="I5" s="33">
        <f t="shared" si="0"/>
        <v>25</v>
      </c>
      <c r="J5" s="33">
        <f t="shared" si="0"/>
        <v>25</v>
      </c>
      <c r="K5" s="33">
        <f t="shared" si="0"/>
        <v>25</v>
      </c>
      <c r="L5" s="33">
        <f t="shared" si="0"/>
        <v>25</v>
      </c>
      <c r="M5" s="33">
        <f t="shared" si="0"/>
        <v>25</v>
      </c>
      <c r="N5" s="33">
        <f t="shared" si="0"/>
        <v>25</v>
      </c>
      <c r="O5" s="33">
        <f t="shared" si="0"/>
        <v>25</v>
      </c>
      <c r="P5" s="33">
        <f t="shared" si="0"/>
        <v>24</v>
      </c>
      <c r="Q5" s="33">
        <f t="shared" si="0"/>
        <v>24</v>
      </c>
      <c r="R5" s="43">
        <f t="shared" si="0"/>
        <v>24</v>
      </c>
      <c r="S5" s="43">
        <f t="shared" si="0"/>
        <v>24</v>
      </c>
      <c r="T5" s="43">
        <f t="shared" si="0"/>
        <v>24</v>
      </c>
      <c r="U5" s="43">
        <f t="shared" si="0"/>
        <v>24</v>
      </c>
      <c r="V5" s="43">
        <f t="shared" si="0"/>
        <v>24</v>
      </c>
      <c r="W5" s="43">
        <f t="shared" si="0"/>
        <v>24</v>
      </c>
      <c r="X5" s="34">
        <f t="shared" si="0"/>
        <v>24</v>
      </c>
      <c r="Y5" s="43">
        <f t="shared" si="0"/>
        <v>24</v>
      </c>
      <c r="Z5" s="43">
        <f t="shared" si="0"/>
        <v>24</v>
      </c>
      <c r="AA5" s="43">
        <f t="shared" si="0"/>
        <v>24</v>
      </c>
      <c r="AB5" s="52">
        <f>AA8</f>
        <v>24</v>
      </c>
      <c r="AC5" s="52">
        <f t="shared" si="0"/>
        <v>24</v>
      </c>
      <c r="AD5" s="52">
        <f t="shared" si="0"/>
        <v>23</v>
      </c>
      <c r="AE5" s="52">
        <f t="shared" si="0"/>
        <v>23</v>
      </c>
      <c r="AF5" s="52">
        <f t="shared" si="0"/>
        <v>23</v>
      </c>
      <c r="AG5" s="52">
        <f t="shared" si="0"/>
        <v>23</v>
      </c>
      <c r="AH5" s="52">
        <f t="shared" si="0"/>
        <v>23</v>
      </c>
      <c r="AI5" s="52">
        <f t="shared" si="0"/>
        <v>23</v>
      </c>
      <c r="AJ5" s="52">
        <f t="shared" si="0"/>
        <v>22</v>
      </c>
      <c r="AK5" s="52">
        <f t="shared" si="0"/>
        <v>22</v>
      </c>
      <c r="AL5" s="52">
        <f t="shared" si="0"/>
        <v>22</v>
      </c>
      <c r="AM5" s="52">
        <f t="shared" si="0"/>
        <v>22</v>
      </c>
      <c r="AN5" s="52">
        <f t="shared" si="0"/>
        <v>22</v>
      </c>
      <c r="AO5" s="52">
        <f t="shared" si="0"/>
        <v>22</v>
      </c>
      <c r="AP5" s="52">
        <f t="shared" si="0"/>
        <v>22</v>
      </c>
      <c r="AQ5" s="43">
        <v>22</v>
      </c>
      <c r="AR5" s="43">
        <v>22</v>
      </c>
      <c r="AS5" s="43">
        <v>22</v>
      </c>
      <c r="AT5" s="43">
        <v>22</v>
      </c>
      <c r="AU5" s="43">
        <v>22</v>
      </c>
    </row>
    <row r="6" spans="1:47">
      <c r="A6" s="23" t="s">
        <v>20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>
        <v>1</v>
      </c>
      <c r="P6" s="44"/>
      <c r="Q6" s="44"/>
      <c r="R6" s="45"/>
      <c r="S6" s="45"/>
      <c r="T6" s="45"/>
      <c r="U6" s="45"/>
      <c r="V6" s="45"/>
      <c r="W6" s="45"/>
      <c r="X6" s="46"/>
      <c r="Y6" s="45"/>
      <c r="Z6" s="45"/>
      <c r="AA6" s="45"/>
      <c r="AB6" s="47"/>
      <c r="AC6" s="47">
        <v>1</v>
      </c>
      <c r="AD6" s="47"/>
      <c r="AE6" s="47"/>
      <c r="AF6" s="47"/>
      <c r="AG6" s="47"/>
      <c r="AH6" s="47"/>
      <c r="AI6" s="47">
        <v>1</v>
      </c>
      <c r="AJ6" s="47"/>
      <c r="AK6" s="47"/>
      <c r="AL6" s="47"/>
      <c r="AM6" s="47"/>
      <c r="AN6" s="47"/>
      <c r="AO6" s="47"/>
      <c r="AP6" s="47"/>
      <c r="AQ6" s="45"/>
      <c r="AR6" s="45"/>
      <c r="AS6" s="45"/>
      <c r="AT6" s="45"/>
      <c r="AU6" s="45"/>
    </row>
    <row r="7" spans="1:47">
      <c r="A7" s="24" t="s">
        <v>21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9"/>
      <c r="S7" s="49"/>
      <c r="T7" s="49"/>
      <c r="U7" s="49"/>
      <c r="V7" s="49"/>
      <c r="W7" s="49"/>
      <c r="X7" s="50"/>
      <c r="Y7" s="49"/>
      <c r="Z7" s="49"/>
      <c r="AA7" s="49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49"/>
      <c r="AR7" s="49"/>
      <c r="AS7" s="49"/>
      <c r="AT7" s="49"/>
      <c r="AU7" s="49"/>
    </row>
    <row r="8" spans="1:47" ht="17.25" customHeight="1">
      <c r="A8" s="3" t="s">
        <v>22</v>
      </c>
      <c r="B8" s="4">
        <f>B5-B6+B7</f>
        <v>25</v>
      </c>
      <c r="C8" s="4">
        <f t="shared" ref="C8:AD8" si="1">C5-C6+C7</f>
        <v>25</v>
      </c>
      <c r="D8" s="4">
        <f t="shared" si="1"/>
        <v>25</v>
      </c>
      <c r="E8" s="4">
        <f t="shared" si="1"/>
        <v>25</v>
      </c>
      <c r="F8" s="4">
        <f t="shared" si="1"/>
        <v>25</v>
      </c>
      <c r="G8" s="4">
        <f t="shared" si="1"/>
        <v>25</v>
      </c>
      <c r="H8" s="4">
        <f t="shared" si="1"/>
        <v>25</v>
      </c>
      <c r="I8" s="4">
        <f t="shared" si="1"/>
        <v>25</v>
      </c>
      <c r="J8" s="4">
        <f t="shared" si="1"/>
        <v>25</v>
      </c>
      <c r="K8" s="4">
        <f t="shared" si="1"/>
        <v>25</v>
      </c>
      <c r="L8" s="4">
        <f t="shared" si="1"/>
        <v>25</v>
      </c>
      <c r="M8" s="4">
        <f t="shared" si="1"/>
        <v>25</v>
      </c>
      <c r="N8" s="4">
        <f t="shared" si="1"/>
        <v>25</v>
      </c>
      <c r="O8" s="4">
        <f t="shared" si="1"/>
        <v>24</v>
      </c>
      <c r="P8" s="4">
        <f t="shared" si="1"/>
        <v>24</v>
      </c>
      <c r="Q8" s="4">
        <f t="shared" si="1"/>
        <v>24</v>
      </c>
      <c r="R8" s="4">
        <f t="shared" si="1"/>
        <v>24</v>
      </c>
      <c r="S8" s="4">
        <f t="shared" si="1"/>
        <v>24</v>
      </c>
      <c r="T8" s="4">
        <f t="shared" si="1"/>
        <v>24</v>
      </c>
      <c r="U8" s="4">
        <f t="shared" si="1"/>
        <v>24</v>
      </c>
      <c r="V8" s="4">
        <f t="shared" si="1"/>
        <v>24</v>
      </c>
      <c r="W8" s="4">
        <f t="shared" si="1"/>
        <v>24</v>
      </c>
      <c r="X8" s="4">
        <f t="shared" si="1"/>
        <v>24</v>
      </c>
      <c r="Y8" s="4">
        <f t="shared" si="1"/>
        <v>24</v>
      </c>
      <c r="Z8" s="4">
        <f t="shared" si="1"/>
        <v>24</v>
      </c>
      <c r="AA8" s="4">
        <f t="shared" si="1"/>
        <v>24</v>
      </c>
      <c r="AB8" s="4">
        <f t="shared" si="1"/>
        <v>24</v>
      </c>
      <c r="AC8" s="4">
        <f t="shared" si="1"/>
        <v>23</v>
      </c>
      <c r="AD8" s="4">
        <f t="shared" si="1"/>
        <v>23</v>
      </c>
      <c r="AE8" s="4">
        <f t="shared" ref="AE8:AM8" si="2">AE5-AE6+AE7</f>
        <v>23</v>
      </c>
      <c r="AF8" s="4">
        <f t="shared" si="2"/>
        <v>23</v>
      </c>
      <c r="AG8" s="4">
        <f t="shared" si="2"/>
        <v>23</v>
      </c>
      <c r="AH8" s="4">
        <f t="shared" si="2"/>
        <v>23</v>
      </c>
      <c r="AI8" s="4">
        <f t="shared" si="2"/>
        <v>22</v>
      </c>
      <c r="AJ8" s="4">
        <f t="shared" si="2"/>
        <v>22</v>
      </c>
      <c r="AK8" s="4">
        <f t="shared" si="2"/>
        <v>22</v>
      </c>
      <c r="AL8" s="4">
        <f t="shared" si="2"/>
        <v>22</v>
      </c>
      <c r="AM8" s="4">
        <f t="shared" si="2"/>
        <v>22</v>
      </c>
      <c r="AN8" s="4">
        <f t="shared" ref="AN8:AO8" si="3">AN5-AN6+AN7</f>
        <v>22</v>
      </c>
      <c r="AO8" s="4">
        <f t="shared" si="3"/>
        <v>22</v>
      </c>
      <c r="AP8" s="4">
        <f t="shared" ref="AP8:AQ8" si="4">AP5-AP6+AP7</f>
        <v>22</v>
      </c>
      <c r="AQ8" s="5">
        <f t="shared" si="4"/>
        <v>22</v>
      </c>
      <c r="AR8" s="5">
        <f t="shared" ref="AR8:AS8" si="5">AR5-AR6+AR7</f>
        <v>22</v>
      </c>
      <c r="AS8" s="5">
        <f t="shared" si="5"/>
        <v>22</v>
      </c>
      <c r="AT8" s="5">
        <f t="shared" ref="AT8:AU8" si="6">AT5-AT6+AT7</f>
        <v>22</v>
      </c>
      <c r="AU8" s="5">
        <f t="shared" si="6"/>
        <v>22</v>
      </c>
    </row>
    <row r="9" spans="1:47">
      <c r="B9"/>
      <c r="C9"/>
    </row>
    <row r="10" spans="1:47" ht="20.25" thickBot="1">
      <c r="A10" s="9" t="s">
        <v>23</v>
      </c>
      <c r="B10"/>
      <c r="C10"/>
    </row>
    <row r="11" spans="1:47" ht="18" thickBot="1">
      <c r="A11" s="27" t="s">
        <v>69</v>
      </c>
      <c r="B11" s="27" t="s">
        <v>2</v>
      </c>
      <c r="C11" s="27" t="s">
        <v>24</v>
      </c>
      <c r="D11" s="56" t="s">
        <v>25</v>
      </c>
    </row>
    <row r="12" spans="1:47">
      <c r="A12" s="13" t="s">
        <v>16</v>
      </c>
      <c r="B12" s="11" t="s">
        <v>41</v>
      </c>
      <c r="C12" s="69">
        <v>1</v>
      </c>
      <c r="D12" s="60" t="s">
        <v>56</v>
      </c>
    </row>
    <row r="13" spans="1:47">
      <c r="A13" s="13" t="s">
        <v>105</v>
      </c>
      <c r="B13" s="54" t="s">
        <v>70</v>
      </c>
      <c r="C13" s="71">
        <v>1</v>
      </c>
      <c r="D13" s="59" t="s">
        <v>71</v>
      </c>
    </row>
    <row r="14" spans="1:47">
      <c r="A14" s="13" t="s">
        <v>137</v>
      </c>
      <c r="B14" s="54" t="s">
        <v>41</v>
      </c>
      <c r="C14" s="71">
        <v>1</v>
      </c>
      <c r="D14" s="78" t="s">
        <v>140</v>
      </c>
    </row>
  </sheetData>
  <phoneticPr fontId="2" type="noConversion"/>
  <conditionalFormatting sqref="B15:B1048576 B12">
    <cfRule type="cellIs" dxfId="23" priority="5" operator="equal">
      <formula>"감소"</formula>
    </cfRule>
    <cfRule type="cellIs" dxfId="22" priority="6" operator="equal">
      <formula>"증가"</formula>
    </cfRule>
  </conditionalFormatting>
  <conditionalFormatting sqref="B13">
    <cfRule type="cellIs" dxfId="21" priority="3" operator="equal">
      <formula>"감소"</formula>
    </cfRule>
    <cfRule type="cellIs" dxfId="20" priority="4" operator="equal">
      <formula>"증가"</formula>
    </cfRule>
  </conditionalFormatting>
  <conditionalFormatting sqref="B14">
    <cfRule type="cellIs" dxfId="19" priority="1" operator="equal">
      <formula>"감소"</formula>
    </cfRule>
    <cfRule type="cellIs" dxfId="18" priority="2" operator="equal">
      <formula>"증가"</formula>
    </cfRule>
  </conditionalFormatting>
  <dataValidations disablePrompts="1" count="1">
    <dataValidation type="list" allowBlank="1" showInputMessage="1" showErrorMessage="1" sqref="B12:B1048576" xr:uid="{00000000-0002-0000-0300-000000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7"/>
  <sheetViews>
    <sheetView workbookViewId="0">
      <pane xSplit="10" topLeftCell="AG1" activePane="topRight" state="frozen"/>
      <selection pane="topRight" activeCell="AL1" sqref="AL1"/>
    </sheetView>
  </sheetViews>
  <sheetFormatPr defaultColWidth="9" defaultRowHeight="16.5"/>
  <cols>
    <col min="1" max="1" width="15.375" customWidth="1"/>
    <col min="2" max="2" width="9" style="55"/>
    <col min="3" max="3" width="9" style="35"/>
    <col min="22" max="22" width="9" style="1"/>
    <col min="23" max="23" width="10.625" style="1" customWidth="1"/>
  </cols>
  <sheetData>
    <row r="1" spans="1:47" s="41" customFormat="1" ht="26.25">
      <c r="A1" s="40" t="s">
        <v>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V1" s="42"/>
      <c r="W1" s="42"/>
    </row>
    <row r="2" spans="1:47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V2" s="7"/>
      <c r="W2" s="7"/>
    </row>
    <row r="3" spans="1:47">
      <c r="A3" t="s">
        <v>1</v>
      </c>
      <c r="B3"/>
      <c r="C3"/>
      <c r="X3" s="1"/>
      <c r="Y3" s="1"/>
      <c r="Z3" s="1"/>
      <c r="AA3" s="1"/>
      <c r="AB3" s="1"/>
      <c r="AC3" s="1"/>
    </row>
    <row r="4" spans="1:47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106</v>
      </c>
      <c r="S4" s="28" t="s">
        <v>97</v>
      </c>
      <c r="T4" s="28" t="s">
        <v>72</v>
      </c>
      <c r="U4" s="28" t="s">
        <v>74</v>
      </c>
      <c r="V4" s="28" t="s">
        <v>95</v>
      </c>
      <c r="W4" s="29" t="s">
        <v>76</v>
      </c>
      <c r="X4" s="29" t="s">
        <v>84</v>
      </c>
      <c r="Y4" s="29" t="s">
        <v>86</v>
      </c>
      <c r="Z4" s="30" t="s">
        <v>88</v>
      </c>
      <c r="AA4" s="28" t="s">
        <v>90</v>
      </c>
      <c r="AB4" s="53" t="s">
        <v>78</v>
      </c>
      <c r="AC4" s="53" t="s">
        <v>93</v>
      </c>
      <c r="AD4" s="53" t="s">
        <v>126</v>
      </c>
      <c r="AE4" s="53" t="s">
        <v>130</v>
      </c>
      <c r="AF4" s="29" t="s">
        <v>131</v>
      </c>
      <c r="AG4" s="29" t="s">
        <v>133</v>
      </c>
      <c r="AH4" s="29" t="s">
        <v>135</v>
      </c>
      <c r="AI4" s="29" t="s">
        <v>137</v>
      </c>
      <c r="AJ4" s="29" t="s">
        <v>142</v>
      </c>
      <c r="AK4" s="29" t="s">
        <v>143</v>
      </c>
      <c r="AL4" s="29" t="s">
        <v>144</v>
      </c>
      <c r="AM4" s="29" t="s">
        <v>145</v>
      </c>
      <c r="AN4" s="29" t="s">
        <v>148</v>
      </c>
      <c r="AO4" s="29" t="s">
        <v>150</v>
      </c>
      <c r="AP4" s="29" t="s">
        <v>152</v>
      </c>
      <c r="AQ4" s="29" t="s">
        <v>155</v>
      </c>
      <c r="AR4" s="29" t="s">
        <v>156</v>
      </c>
      <c r="AS4" s="29" t="s">
        <v>157</v>
      </c>
      <c r="AT4" s="29" t="s">
        <v>159</v>
      </c>
      <c r="AU4" s="29" t="s">
        <v>163</v>
      </c>
    </row>
    <row r="5" spans="1:47" ht="16.5" customHeight="1">
      <c r="A5" s="3" t="s">
        <v>19</v>
      </c>
      <c r="B5" s="33">
        <v>23</v>
      </c>
      <c r="C5" s="33">
        <f>B8</f>
        <v>23</v>
      </c>
      <c r="D5" s="33">
        <f t="shared" ref="D5:R5" si="0">C8</f>
        <v>23</v>
      </c>
      <c r="E5" s="33">
        <f t="shared" si="0"/>
        <v>24</v>
      </c>
      <c r="F5" s="33">
        <f t="shared" si="0"/>
        <v>23</v>
      </c>
      <c r="G5" s="33">
        <f t="shared" si="0"/>
        <v>23</v>
      </c>
      <c r="H5" s="33">
        <f t="shared" si="0"/>
        <v>23</v>
      </c>
      <c r="I5" s="33">
        <f t="shared" si="0"/>
        <v>23</v>
      </c>
      <c r="J5" s="33">
        <f t="shared" si="0"/>
        <v>23</v>
      </c>
      <c r="K5" s="33">
        <f t="shared" si="0"/>
        <v>22</v>
      </c>
      <c r="L5" s="33">
        <f t="shared" si="0"/>
        <v>22</v>
      </c>
      <c r="M5" s="33">
        <f t="shared" si="0"/>
        <v>22</v>
      </c>
      <c r="N5" s="33">
        <f t="shared" si="0"/>
        <v>22</v>
      </c>
      <c r="O5" s="33">
        <f t="shared" si="0"/>
        <v>22</v>
      </c>
      <c r="P5" s="33">
        <f t="shared" si="0"/>
        <v>21</v>
      </c>
      <c r="Q5" s="33">
        <f t="shared" si="0"/>
        <v>21</v>
      </c>
      <c r="R5" s="43">
        <f t="shared" si="0"/>
        <v>20</v>
      </c>
      <c r="S5" s="43">
        <f>R8</f>
        <v>20</v>
      </c>
      <c r="T5" s="43">
        <f>S8</f>
        <v>20</v>
      </c>
      <c r="U5" s="43">
        <f>T8</f>
        <v>20</v>
      </c>
      <c r="V5" s="43">
        <f t="shared" ref="V5:AP5" si="1">U8</f>
        <v>20</v>
      </c>
      <c r="W5" s="43">
        <f t="shared" si="1"/>
        <v>21</v>
      </c>
      <c r="X5" s="43">
        <f t="shared" si="1"/>
        <v>21</v>
      </c>
      <c r="Y5" s="43">
        <f t="shared" si="1"/>
        <v>21</v>
      </c>
      <c r="Z5" s="43">
        <f t="shared" si="1"/>
        <v>21</v>
      </c>
      <c r="AA5" s="43">
        <f t="shared" si="1"/>
        <v>21</v>
      </c>
      <c r="AB5" s="43">
        <f t="shared" si="1"/>
        <v>21</v>
      </c>
      <c r="AC5" s="43">
        <f t="shared" si="1"/>
        <v>21</v>
      </c>
      <c r="AD5" s="43">
        <f t="shared" si="1"/>
        <v>20</v>
      </c>
      <c r="AE5" s="43">
        <f t="shared" si="1"/>
        <v>20</v>
      </c>
      <c r="AF5" s="43">
        <f t="shared" si="1"/>
        <v>20</v>
      </c>
      <c r="AG5" s="43">
        <f t="shared" si="1"/>
        <v>21</v>
      </c>
      <c r="AH5" s="43">
        <f t="shared" si="1"/>
        <v>22</v>
      </c>
      <c r="AI5" s="43">
        <f t="shared" si="1"/>
        <v>22</v>
      </c>
      <c r="AJ5" s="43">
        <f t="shared" si="1"/>
        <v>22</v>
      </c>
      <c r="AK5" s="43">
        <f t="shared" si="1"/>
        <v>22</v>
      </c>
      <c r="AL5" s="43">
        <f t="shared" si="1"/>
        <v>22</v>
      </c>
      <c r="AM5" s="43">
        <f t="shared" si="1"/>
        <v>22</v>
      </c>
      <c r="AN5" s="43">
        <f t="shared" si="1"/>
        <v>22</v>
      </c>
      <c r="AO5" s="43">
        <f t="shared" si="1"/>
        <v>22</v>
      </c>
      <c r="AP5" s="43">
        <f t="shared" si="1"/>
        <v>22</v>
      </c>
      <c r="AQ5" s="43">
        <v>23</v>
      </c>
      <c r="AR5" s="43">
        <v>23</v>
      </c>
      <c r="AS5" s="43">
        <v>24</v>
      </c>
      <c r="AT5" s="43">
        <v>25</v>
      </c>
      <c r="AU5" s="43">
        <v>24</v>
      </c>
    </row>
    <row r="6" spans="1:47">
      <c r="A6" s="23" t="s">
        <v>20</v>
      </c>
      <c r="B6" s="44"/>
      <c r="C6" s="44"/>
      <c r="D6" s="44"/>
      <c r="E6" s="44">
        <v>1</v>
      </c>
      <c r="F6" s="44"/>
      <c r="G6" s="44"/>
      <c r="H6" s="44"/>
      <c r="I6" s="44"/>
      <c r="J6" s="44">
        <v>1</v>
      </c>
      <c r="K6" s="44"/>
      <c r="L6" s="44">
        <v>1</v>
      </c>
      <c r="M6" s="44"/>
      <c r="N6" s="44"/>
      <c r="O6" s="44">
        <v>1</v>
      </c>
      <c r="P6" s="44"/>
      <c r="Q6" s="44">
        <v>1</v>
      </c>
      <c r="R6" s="45"/>
      <c r="S6" s="45"/>
      <c r="T6" s="45"/>
      <c r="U6" s="45"/>
      <c r="V6" s="45"/>
      <c r="W6" s="45"/>
      <c r="X6" s="46"/>
      <c r="Y6" s="46"/>
      <c r="Z6" s="47"/>
      <c r="AA6" s="46"/>
      <c r="AB6" s="47"/>
      <c r="AC6" s="47">
        <v>1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5"/>
      <c r="AR6" s="45"/>
      <c r="AS6" s="45"/>
      <c r="AT6" s="45">
        <v>1</v>
      </c>
      <c r="AU6" s="45">
        <v>1</v>
      </c>
    </row>
    <row r="7" spans="1:47">
      <c r="A7" s="24" t="s">
        <v>21</v>
      </c>
      <c r="B7" s="48"/>
      <c r="C7" s="48"/>
      <c r="D7" s="48">
        <v>1</v>
      </c>
      <c r="E7" s="48"/>
      <c r="F7" s="48"/>
      <c r="G7" s="48"/>
      <c r="H7" s="48"/>
      <c r="I7" s="48"/>
      <c r="J7" s="48"/>
      <c r="K7" s="48"/>
      <c r="L7" s="48">
        <v>1</v>
      </c>
      <c r="M7" s="48"/>
      <c r="N7" s="48"/>
      <c r="O7" s="48"/>
      <c r="P7" s="48"/>
      <c r="Q7" s="48"/>
      <c r="R7" s="49"/>
      <c r="S7" s="49"/>
      <c r="T7" s="49"/>
      <c r="U7" s="49"/>
      <c r="V7" s="49">
        <v>1</v>
      </c>
      <c r="W7" s="49"/>
      <c r="X7" s="50"/>
      <c r="Y7" s="50"/>
      <c r="Z7" s="51"/>
      <c r="AA7" s="50"/>
      <c r="AB7" s="51"/>
      <c r="AC7" s="51"/>
      <c r="AD7" s="51"/>
      <c r="AE7" s="51"/>
      <c r="AF7" s="51">
        <v>1</v>
      </c>
      <c r="AG7" s="51">
        <v>1</v>
      </c>
      <c r="AH7" s="51"/>
      <c r="AI7" s="51"/>
      <c r="AJ7" s="51"/>
      <c r="AK7" s="51"/>
      <c r="AL7" s="51"/>
      <c r="AM7" s="51"/>
      <c r="AN7" s="51"/>
      <c r="AO7" s="51"/>
      <c r="AP7" s="51">
        <v>1</v>
      </c>
      <c r="AQ7" s="49"/>
      <c r="AR7" s="49">
        <v>1</v>
      </c>
      <c r="AS7" s="49">
        <v>1</v>
      </c>
      <c r="AT7" s="49"/>
      <c r="AU7" s="49"/>
    </row>
    <row r="8" spans="1:47" ht="17.25" customHeight="1">
      <c r="A8" s="3" t="s">
        <v>22</v>
      </c>
      <c r="B8" s="4">
        <f>B5-B6+B7</f>
        <v>23</v>
      </c>
      <c r="C8" s="4">
        <f t="shared" ref="C8:U8" si="2">C5-C6+C7</f>
        <v>23</v>
      </c>
      <c r="D8" s="4">
        <f t="shared" si="2"/>
        <v>24</v>
      </c>
      <c r="E8" s="4">
        <f t="shared" si="2"/>
        <v>23</v>
      </c>
      <c r="F8" s="4">
        <f t="shared" si="2"/>
        <v>23</v>
      </c>
      <c r="G8" s="4">
        <f t="shared" si="2"/>
        <v>23</v>
      </c>
      <c r="H8" s="4">
        <f t="shared" si="2"/>
        <v>23</v>
      </c>
      <c r="I8" s="4">
        <f t="shared" si="2"/>
        <v>23</v>
      </c>
      <c r="J8" s="4">
        <f t="shared" si="2"/>
        <v>22</v>
      </c>
      <c r="K8" s="4">
        <f t="shared" si="2"/>
        <v>22</v>
      </c>
      <c r="L8" s="4">
        <f t="shared" si="2"/>
        <v>22</v>
      </c>
      <c r="M8" s="4">
        <f t="shared" si="2"/>
        <v>22</v>
      </c>
      <c r="N8" s="4">
        <f t="shared" si="2"/>
        <v>22</v>
      </c>
      <c r="O8" s="4">
        <f t="shared" si="2"/>
        <v>21</v>
      </c>
      <c r="P8" s="4">
        <f t="shared" si="2"/>
        <v>21</v>
      </c>
      <c r="Q8" s="4">
        <f t="shared" si="2"/>
        <v>20</v>
      </c>
      <c r="R8" s="5">
        <f t="shared" si="2"/>
        <v>20</v>
      </c>
      <c r="S8" s="5">
        <f t="shared" si="2"/>
        <v>20</v>
      </c>
      <c r="T8" s="5">
        <f t="shared" si="2"/>
        <v>20</v>
      </c>
      <c r="U8" s="5">
        <f t="shared" si="2"/>
        <v>20</v>
      </c>
      <c r="V8" s="5">
        <f t="shared" ref="V8:AM8" si="3">V5-V6+V7</f>
        <v>21</v>
      </c>
      <c r="W8" s="5">
        <f t="shared" si="3"/>
        <v>21</v>
      </c>
      <c r="X8" s="4">
        <f t="shared" si="3"/>
        <v>21</v>
      </c>
      <c r="Y8" s="4">
        <f t="shared" si="3"/>
        <v>21</v>
      </c>
      <c r="Z8" s="6">
        <f t="shared" si="3"/>
        <v>21</v>
      </c>
      <c r="AA8" s="4">
        <f t="shared" si="3"/>
        <v>21</v>
      </c>
      <c r="AB8" s="6">
        <f t="shared" si="3"/>
        <v>21</v>
      </c>
      <c r="AC8" s="6">
        <f t="shared" si="3"/>
        <v>20</v>
      </c>
      <c r="AD8" s="6">
        <f t="shared" si="3"/>
        <v>20</v>
      </c>
      <c r="AE8" s="6">
        <f t="shared" si="3"/>
        <v>20</v>
      </c>
      <c r="AF8" s="6">
        <f t="shared" si="3"/>
        <v>21</v>
      </c>
      <c r="AG8" s="6">
        <f t="shared" si="3"/>
        <v>22</v>
      </c>
      <c r="AH8" s="6">
        <f t="shared" si="3"/>
        <v>22</v>
      </c>
      <c r="AI8" s="6">
        <f t="shared" si="3"/>
        <v>22</v>
      </c>
      <c r="AJ8" s="6">
        <f t="shared" si="3"/>
        <v>22</v>
      </c>
      <c r="AK8" s="6">
        <f t="shared" si="3"/>
        <v>22</v>
      </c>
      <c r="AL8" s="6">
        <f t="shared" si="3"/>
        <v>22</v>
      </c>
      <c r="AM8" s="6">
        <f t="shared" si="3"/>
        <v>22</v>
      </c>
      <c r="AN8" s="6">
        <f t="shared" ref="AN8:AO8" si="4">AN5-AN6+AN7</f>
        <v>22</v>
      </c>
      <c r="AO8" s="6">
        <f t="shared" si="4"/>
        <v>22</v>
      </c>
      <c r="AP8" s="6">
        <f t="shared" ref="AP8:AQ8" si="5">AP5-AP6+AP7</f>
        <v>23</v>
      </c>
      <c r="AQ8" s="5">
        <f t="shared" si="5"/>
        <v>23</v>
      </c>
      <c r="AR8" s="5">
        <f t="shared" ref="AR8:AS8" si="6">AR5-AR6+AR7</f>
        <v>24</v>
      </c>
      <c r="AS8" s="5">
        <f t="shared" si="6"/>
        <v>25</v>
      </c>
      <c r="AT8" s="5">
        <f t="shared" ref="AT8:AU8" si="7">AT5-AT6+AT7</f>
        <v>24</v>
      </c>
      <c r="AU8" s="5">
        <f t="shared" si="7"/>
        <v>23</v>
      </c>
    </row>
    <row r="9" spans="1:47">
      <c r="B9"/>
      <c r="C9"/>
      <c r="X9" s="7"/>
      <c r="Z9" s="8"/>
      <c r="AA9" s="7"/>
      <c r="AB9" s="2"/>
    </row>
    <row r="10" spans="1:47" ht="20.25" thickBot="1">
      <c r="A10" s="9" t="s">
        <v>23</v>
      </c>
      <c r="B10"/>
      <c r="C10"/>
      <c r="X10" s="7"/>
      <c r="Z10" s="8"/>
      <c r="AA10" s="7"/>
      <c r="AB10" s="2"/>
    </row>
    <row r="11" spans="1:47" ht="18" thickBot="1">
      <c r="A11" s="27" t="s">
        <v>69</v>
      </c>
      <c r="B11" s="27" t="s">
        <v>2</v>
      </c>
      <c r="C11" s="31" t="s">
        <v>24</v>
      </c>
      <c r="D11" s="32" t="s">
        <v>25</v>
      </c>
      <c r="X11" s="7"/>
      <c r="Z11" s="8"/>
      <c r="AA11" s="7"/>
      <c r="AB11" s="2"/>
    </row>
    <row r="12" spans="1:47" s="14" customFormat="1">
      <c r="A12" s="13" t="s">
        <v>5</v>
      </c>
      <c r="B12" s="11" t="s">
        <v>21</v>
      </c>
      <c r="C12" s="72">
        <v>1</v>
      </c>
      <c r="D12" s="12" t="s">
        <v>66</v>
      </c>
      <c r="V12" s="19"/>
      <c r="W12" s="1"/>
    </row>
    <row r="13" spans="1:47" s="14" customFormat="1">
      <c r="A13" s="13" t="s">
        <v>6</v>
      </c>
      <c r="B13" s="11" t="s">
        <v>20</v>
      </c>
      <c r="C13" s="72">
        <v>1</v>
      </c>
      <c r="D13" s="12" t="s">
        <v>58</v>
      </c>
      <c r="V13" s="19"/>
      <c r="W13" s="1"/>
    </row>
    <row r="14" spans="1:47" s="14" customFormat="1">
      <c r="A14" s="13" t="s">
        <v>11</v>
      </c>
      <c r="B14" s="11" t="s">
        <v>20</v>
      </c>
      <c r="C14" s="72">
        <v>1</v>
      </c>
      <c r="D14" s="12" t="s">
        <v>59</v>
      </c>
      <c r="V14" s="19"/>
      <c r="W14" s="1"/>
    </row>
    <row r="15" spans="1:47" s="14" customFormat="1">
      <c r="A15" s="13" t="s">
        <v>13</v>
      </c>
      <c r="B15" s="11" t="s">
        <v>20</v>
      </c>
      <c r="C15" s="72">
        <v>1</v>
      </c>
      <c r="D15" s="12" t="s">
        <v>67</v>
      </c>
      <c r="V15" s="19"/>
      <c r="W15" s="1"/>
    </row>
    <row r="16" spans="1:47" s="14" customFormat="1">
      <c r="A16" s="13" t="s">
        <v>13</v>
      </c>
      <c r="B16" s="11" t="s">
        <v>21</v>
      </c>
      <c r="C16" s="72">
        <v>1</v>
      </c>
      <c r="D16" s="12" t="s">
        <v>68</v>
      </c>
      <c r="V16" s="19"/>
      <c r="W16" s="17"/>
    </row>
    <row r="17" spans="1:9">
      <c r="A17" s="13" t="s">
        <v>16</v>
      </c>
      <c r="B17" s="11" t="s">
        <v>41</v>
      </c>
      <c r="C17" s="72">
        <v>1</v>
      </c>
      <c r="D17" s="58" t="s">
        <v>60</v>
      </c>
    </row>
    <row r="18" spans="1:9">
      <c r="A18" s="13" t="s">
        <v>18</v>
      </c>
      <c r="B18" s="11" t="s">
        <v>41</v>
      </c>
      <c r="C18" s="72">
        <v>1</v>
      </c>
      <c r="D18" s="58" t="s">
        <v>61</v>
      </c>
    </row>
    <row r="19" spans="1:9">
      <c r="A19" s="13" t="s">
        <v>101</v>
      </c>
      <c r="B19" s="11" t="s">
        <v>21</v>
      </c>
      <c r="C19" s="72">
        <v>1</v>
      </c>
      <c r="D19" s="58" t="s">
        <v>62</v>
      </c>
    </row>
    <row r="20" spans="1:9">
      <c r="A20" s="13" t="s">
        <v>105</v>
      </c>
      <c r="B20" s="11" t="s">
        <v>41</v>
      </c>
      <c r="C20" s="72">
        <v>1</v>
      </c>
      <c r="D20" s="58" t="s">
        <v>107</v>
      </c>
    </row>
    <row r="21" spans="1:9">
      <c r="A21" s="13" t="s">
        <v>131</v>
      </c>
      <c r="B21" s="11" t="s">
        <v>21</v>
      </c>
      <c r="C21" s="72">
        <v>1</v>
      </c>
      <c r="D21" s="58" t="s">
        <v>132</v>
      </c>
    </row>
    <row r="22" spans="1:9">
      <c r="A22" s="13" t="s">
        <v>133</v>
      </c>
      <c r="B22" s="75" t="s">
        <v>21</v>
      </c>
      <c r="C22" s="76">
        <v>1</v>
      </c>
      <c r="D22" t="s">
        <v>134</v>
      </c>
    </row>
    <row r="23" spans="1:9">
      <c r="A23" s="13" t="s">
        <v>152</v>
      </c>
      <c r="B23" s="75" t="s">
        <v>21</v>
      </c>
      <c r="C23" s="76">
        <v>1</v>
      </c>
      <c r="D23" s="15" t="s">
        <v>154</v>
      </c>
    </row>
    <row r="24" spans="1:9">
      <c r="A24" s="79" t="s">
        <v>156</v>
      </c>
      <c r="B24" s="80" t="s">
        <v>21</v>
      </c>
      <c r="C24" s="81">
        <v>1</v>
      </c>
      <c r="D24" s="8" t="s">
        <v>158</v>
      </c>
      <c r="E24" s="7"/>
      <c r="F24" s="7"/>
      <c r="G24" s="7"/>
      <c r="H24" s="7"/>
      <c r="I24" s="7"/>
    </row>
    <row r="25" spans="1:9">
      <c r="A25" s="79" t="s">
        <v>157</v>
      </c>
      <c r="B25" s="80" t="s">
        <v>21</v>
      </c>
      <c r="C25" s="82">
        <v>1</v>
      </c>
      <c r="D25" s="8" t="s">
        <v>161</v>
      </c>
      <c r="E25" s="7"/>
      <c r="F25" s="7"/>
      <c r="G25" s="7"/>
      <c r="H25" s="7"/>
      <c r="I25" s="7"/>
    </row>
    <row r="26" spans="1:9">
      <c r="A26" s="83" t="s">
        <v>159</v>
      </c>
      <c r="B26" s="84" t="s">
        <v>41</v>
      </c>
      <c r="C26" s="72">
        <v>1</v>
      </c>
      <c r="D26" s="12" t="s">
        <v>160</v>
      </c>
    </row>
    <row r="27" spans="1:9">
      <c r="A27" s="83" t="s">
        <v>163</v>
      </c>
      <c r="B27" s="84" t="s">
        <v>41</v>
      </c>
      <c r="C27" s="72">
        <v>1</v>
      </c>
      <c r="D27" s="7" t="s">
        <v>164</v>
      </c>
    </row>
  </sheetData>
  <phoneticPr fontId="2" type="noConversion"/>
  <conditionalFormatting sqref="B28:B1048576 B12:B19">
    <cfRule type="cellIs" dxfId="17" priority="19" operator="equal">
      <formula>"감소"</formula>
    </cfRule>
    <cfRule type="cellIs" dxfId="16" priority="20" operator="equal">
      <formula>"증가"</formula>
    </cfRule>
  </conditionalFormatting>
  <conditionalFormatting sqref="B20">
    <cfRule type="cellIs" dxfId="15" priority="17" operator="equal">
      <formula>"감소"</formula>
    </cfRule>
    <cfRule type="cellIs" dxfId="14" priority="18" operator="equal">
      <formula>"증가"</formula>
    </cfRule>
  </conditionalFormatting>
  <conditionalFormatting sqref="B21">
    <cfRule type="cellIs" dxfId="13" priority="13" operator="equal">
      <formula>"감소"</formula>
    </cfRule>
    <cfRule type="cellIs" dxfId="12" priority="14" operator="equal">
      <formula>"증가"</formula>
    </cfRule>
  </conditionalFormatting>
  <conditionalFormatting sqref="B22">
    <cfRule type="cellIs" dxfId="11" priority="11" operator="equal">
      <formula>"감소"</formula>
    </cfRule>
    <cfRule type="cellIs" dxfId="10" priority="12" operator="equal">
      <formula>"증가"</formula>
    </cfRule>
  </conditionalFormatting>
  <conditionalFormatting sqref="B23">
    <cfRule type="cellIs" dxfId="9" priority="9" operator="equal">
      <formula>"감소"</formula>
    </cfRule>
    <cfRule type="cellIs" dxfId="8" priority="10" operator="equal">
      <formula>"증가"</formula>
    </cfRule>
  </conditionalFormatting>
  <conditionalFormatting sqref="B24">
    <cfRule type="cellIs" dxfId="7" priority="7" operator="equal">
      <formula>"감소"</formula>
    </cfRule>
    <cfRule type="cellIs" dxfId="6" priority="8" operator="equal">
      <formula>"증가"</formula>
    </cfRule>
  </conditionalFormatting>
  <conditionalFormatting sqref="B25">
    <cfRule type="cellIs" dxfId="5" priority="3" operator="equal">
      <formula>"감소"</formula>
    </cfRule>
    <cfRule type="cellIs" dxfId="4" priority="4" operator="equal">
      <formula>"증가"</formula>
    </cfRule>
  </conditionalFormatting>
  <conditionalFormatting sqref="B26:B27">
    <cfRule type="cellIs" dxfId="3" priority="1" operator="equal">
      <formula>"감소"</formula>
    </cfRule>
    <cfRule type="cellIs" dxfId="2" priority="2" operator="equal">
      <formula>"증가"</formula>
    </cfRule>
  </conditionalFormatting>
  <dataValidations count="1">
    <dataValidation type="list" allowBlank="1" showInputMessage="1" showErrorMessage="1" sqref="B12:B22 B26:B1048576" xr:uid="{00000000-0002-0000-0400-000000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'C:\Users\kdic\AppData\Local\Microsoft\Windows\INetCache\IE\3EZRWOC8\[(붙임2) (24.10월말기준) 부보금융회사 변동 현황_보험리스크관리부.xlsx]현황표'!#REF!</xm:f>
          </x14:formula1>
          <xm:sqref>B23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3"/>
  <sheetViews>
    <sheetView workbookViewId="0">
      <pane xSplit="10" topLeftCell="AG1" activePane="topRight" state="frozen"/>
      <selection pane="topRight" activeCell="AS20" sqref="AS20"/>
    </sheetView>
  </sheetViews>
  <sheetFormatPr defaultColWidth="9" defaultRowHeight="16.5"/>
  <cols>
    <col min="1" max="1" width="15.375" customWidth="1"/>
    <col min="2" max="2" width="9" style="55"/>
    <col min="3" max="3" width="9" style="35"/>
  </cols>
  <sheetData>
    <row r="1" spans="1:47" s="41" customFormat="1" ht="26.25">
      <c r="A1" s="40" t="s">
        <v>64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47" s="8" customForma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47">
      <c r="A3" t="s">
        <v>1</v>
      </c>
      <c r="B3"/>
      <c r="C3"/>
    </row>
    <row r="4" spans="1:47">
      <c r="A4" s="25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7" t="s">
        <v>18</v>
      </c>
      <c r="R4" s="28" t="s">
        <v>110</v>
      </c>
      <c r="S4" s="28" t="s">
        <v>111</v>
      </c>
      <c r="T4" s="28" t="s">
        <v>112</v>
      </c>
      <c r="U4" s="28" t="s">
        <v>113</v>
      </c>
      <c r="V4" s="28" t="s">
        <v>114</v>
      </c>
      <c r="W4" s="28" t="s">
        <v>115</v>
      </c>
      <c r="X4" s="28" t="s">
        <v>116</v>
      </c>
      <c r="Y4" s="28" t="s">
        <v>117</v>
      </c>
      <c r="Z4" s="28" t="s">
        <v>118</v>
      </c>
      <c r="AA4" s="28" t="s">
        <v>119</v>
      </c>
      <c r="AB4" s="28" t="s">
        <v>120</v>
      </c>
      <c r="AC4" s="28" t="s">
        <v>121</v>
      </c>
      <c r="AD4" s="28" t="s">
        <v>127</v>
      </c>
      <c r="AE4" s="28" t="s">
        <v>130</v>
      </c>
      <c r="AF4" s="29" t="s">
        <v>131</v>
      </c>
      <c r="AG4" s="29" t="s">
        <v>133</v>
      </c>
      <c r="AH4" s="29" t="s">
        <v>135</v>
      </c>
      <c r="AI4" s="29" t="s">
        <v>137</v>
      </c>
      <c r="AJ4" s="29" t="s">
        <v>142</v>
      </c>
      <c r="AK4" s="29" t="s">
        <v>143</v>
      </c>
      <c r="AL4" s="29" t="s">
        <v>144</v>
      </c>
      <c r="AM4" s="29" t="s">
        <v>145</v>
      </c>
      <c r="AN4" s="29" t="s">
        <v>148</v>
      </c>
      <c r="AO4" s="29" t="s">
        <v>150</v>
      </c>
      <c r="AP4" s="29" t="s">
        <v>152</v>
      </c>
      <c r="AQ4" s="29" t="s">
        <v>155</v>
      </c>
      <c r="AR4" s="29" t="s">
        <v>156</v>
      </c>
      <c r="AS4" s="29" t="s">
        <v>157</v>
      </c>
      <c r="AT4" s="29" t="s">
        <v>159</v>
      </c>
      <c r="AU4" s="29" t="s">
        <v>163</v>
      </c>
    </row>
    <row r="5" spans="1:47">
      <c r="A5" s="3" t="s">
        <v>19</v>
      </c>
      <c r="B5" s="33">
        <v>88</v>
      </c>
      <c r="C5" s="33">
        <f>B8</f>
        <v>81</v>
      </c>
      <c r="D5" s="33">
        <f t="shared" ref="D5:AP5" si="0">C8</f>
        <v>81</v>
      </c>
      <c r="E5" s="33">
        <f t="shared" si="0"/>
        <v>80</v>
      </c>
      <c r="F5" s="33">
        <f t="shared" si="0"/>
        <v>80</v>
      </c>
      <c r="G5" s="33">
        <f t="shared" si="0"/>
        <v>80</v>
      </c>
      <c r="H5" s="33">
        <f t="shared" si="0"/>
        <v>80</v>
      </c>
      <c r="I5" s="33">
        <f t="shared" si="0"/>
        <v>80</v>
      </c>
      <c r="J5" s="33">
        <f t="shared" si="0"/>
        <v>80</v>
      </c>
      <c r="K5" s="33">
        <f>J8</f>
        <v>80</v>
      </c>
      <c r="L5" s="33">
        <f t="shared" si="0"/>
        <v>80</v>
      </c>
      <c r="M5" s="33">
        <f t="shared" si="0"/>
        <v>80</v>
      </c>
      <c r="N5" s="33">
        <f t="shared" si="0"/>
        <v>80</v>
      </c>
      <c r="O5" s="33">
        <f t="shared" si="0"/>
        <v>80</v>
      </c>
      <c r="P5" s="33">
        <f t="shared" si="0"/>
        <v>80</v>
      </c>
      <c r="Q5" s="33">
        <f t="shared" si="0"/>
        <v>80</v>
      </c>
      <c r="R5" s="43">
        <f t="shared" si="0"/>
        <v>80</v>
      </c>
      <c r="S5" s="43">
        <f t="shared" si="0"/>
        <v>80</v>
      </c>
      <c r="T5" s="43">
        <f t="shared" si="0"/>
        <v>80</v>
      </c>
      <c r="U5" s="43">
        <f t="shared" si="0"/>
        <v>80</v>
      </c>
      <c r="V5" s="43">
        <f t="shared" si="0"/>
        <v>80</v>
      </c>
      <c r="W5" s="43">
        <f t="shared" si="0"/>
        <v>80</v>
      </c>
      <c r="X5" s="43">
        <f t="shared" si="0"/>
        <v>80</v>
      </c>
      <c r="Y5" s="43">
        <f t="shared" si="0"/>
        <v>80</v>
      </c>
      <c r="Z5" s="43">
        <f t="shared" si="0"/>
        <v>80</v>
      </c>
      <c r="AA5" s="43">
        <f t="shared" si="0"/>
        <v>80</v>
      </c>
      <c r="AB5" s="43">
        <f t="shared" si="0"/>
        <v>80</v>
      </c>
      <c r="AC5" s="43">
        <f t="shared" si="0"/>
        <v>80</v>
      </c>
      <c r="AD5" s="43">
        <f t="shared" si="0"/>
        <v>80</v>
      </c>
      <c r="AE5" s="43">
        <f t="shared" si="0"/>
        <v>80</v>
      </c>
      <c r="AF5" s="43">
        <f t="shared" si="0"/>
        <v>80</v>
      </c>
      <c r="AG5" s="43">
        <f t="shared" si="0"/>
        <v>80</v>
      </c>
      <c r="AH5" s="43">
        <f t="shared" si="0"/>
        <v>80</v>
      </c>
      <c r="AI5" s="43">
        <f t="shared" si="0"/>
        <v>80</v>
      </c>
      <c r="AJ5" s="43">
        <f t="shared" si="0"/>
        <v>80</v>
      </c>
      <c r="AK5" s="43">
        <f t="shared" si="0"/>
        <v>80</v>
      </c>
      <c r="AL5" s="43">
        <f t="shared" si="0"/>
        <v>80</v>
      </c>
      <c r="AM5" s="43">
        <f t="shared" si="0"/>
        <v>80</v>
      </c>
      <c r="AN5" s="43">
        <f t="shared" si="0"/>
        <v>80</v>
      </c>
      <c r="AO5" s="43">
        <f t="shared" si="0"/>
        <v>80</v>
      </c>
      <c r="AP5" s="43">
        <f t="shared" si="0"/>
        <v>80</v>
      </c>
      <c r="AQ5" s="43">
        <v>80</v>
      </c>
      <c r="AR5" s="43">
        <v>80</v>
      </c>
      <c r="AS5" s="43">
        <v>80</v>
      </c>
      <c r="AT5" s="43">
        <v>80</v>
      </c>
      <c r="AU5" s="43">
        <v>80</v>
      </c>
    </row>
    <row r="6" spans="1:47">
      <c r="A6" s="23" t="s">
        <v>20</v>
      </c>
      <c r="B6" s="44">
        <v>7</v>
      </c>
      <c r="C6" s="44"/>
      <c r="D6" s="44">
        <v>1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</row>
    <row r="7" spans="1:47">
      <c r="A7" s="24" t="s">
        <v>21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</row>
    <row r="8" spans="1:47">
      <c r="A8" s="3" t="s">
        <v>22</v>
      </c>
      <c r="B8" s="4">
        <f>B5-B6+B7</f>
        <v>81</v>
      </c>
      <c r="C8" s="4">
        <f t="shared" ref="C8:AC8" si="1">C5-C6+C7</f>
        <v>81</v>
      </c>
      <c r="D8" s="4">
        <f t="shared" si="1"/>
        <v>80</v>
      </c>
      <c r="E8" s="4">
        <f t="shared" si="1"/>
        <v>80</v>
      </c>
      <c r="F8" s="4">
        <f t="shared" si="1"/>
        <v>80</v>
      </c>
      <c r="G8" s="4">
        <f t="shared" si="1"/>
        <v>80</v>
      </c>
      <c r="H8" s="4">
        <f t="shared" si="1"/>
        <v>80</v>
      </c>
      <c r="I8" s="4">
        <f t="shared" si="1"/>
        <v>80</v>
      </c>
      <c r="J8" s="4">
        <f t="shared" si="1"/>
        <v>80</v>
      </c>
      <c r="K8" s="4">
        <f t="shared" si="1"/>
        <v>80</v>
      </c>
      <c r="L8" s="4">
        <f t="shared" si="1"/>
        <v>80</v>
      </c>
      <c r="M8" s="4">
        <f t="shared" si="1"/>
        <v>80</v>
      </c>
      <c r="N8" s="4">
        <f t="shared" si="1"/>
        <v>80</v>
      </c>
      <c r="O8" s="4">
        <f t="shared" si="1"/>
        <v>80</v>
      </c>
      <c r="P8" s="4">
        <f t="shared" si="1"/>
        <v>80</v>
      </c>
      <c r="Q8" s="4">
        <f t="shared" si="1"/>
        <v>80</v>
      </c>
      <c r="R8" s="5">
        <f t="shared" si="1"/>
        <v>80</v>
      </c>
      <c r="S8" s="5">
        <f t="shared" si="1"/>
        <v>80</v>
      </c>
      <c r="T8" s="5">
        <f t="shared" si="1"/>
        <v>80</v>
      </c>
      <c r="U8" s="5">
        <f t="shared" si="1"/>
        <v>80</v>
      </c>
      <c r="V8" s="5">
        <f t="shared" si="1"/>
        <v>80</v>
      </c>
      <c r="W8" s="5">
        <f t="shared" si="1"/>
        <v>80</v>
      </c>
      <c r="X8" s="5">
        <f t="shared" si="1"/>
        <v>80</v>
      </c>
      <c r="Y8" s="5">
        <f t="shared" si="1"/>
        <v>80</v>
      </c>
      <c r="Z8" s="5">
        <f t="shared" si="1"/>
        <v>80</v>
      </c>
      <c r="AA8" s="5">
        <f t="shared" si="1"/>
        <v>80</v>
      </c>
      <c r="AB8" s="5">
        <f t="shared" si="1"/>
        <v>80</v>
      </c>
      <c r="AC8" s="5">
        <f t="shared" si="1"/>
        <v>80</v>
      </c>
      <c r="AD8" s="5">
        <f t="shared" ref="AD8:AM8" si="2">AD5-AD6+AD7</f>
        <v>80</v>
      </c>
      <c r="AE8" s="5">
        <f t="shared" si="2"/>
        <v>80</v>
      </c>
      <c r="AF8" s="5">
        <f t="shared" si="2"/>
        <v>80</v>
      </c>
      <c r="AG8" s="5">
        <f t="shared" si="2"/>
        <v>80</v>
      </c>
      <c r="AH8" s="5">
        <f t="shared" si="2"/>
        <v>80</v>
      </c>
      <c r="AI8" s="5">
        <f t="shared" si="2"/>
        <v>80</v>
      </c>
      <c r="AJ8" s="5">
        <f t="shared" si="2"/>
        <v>80</v>
      </c>
      <c r="AK8" s="5">
        <f t="shared" si="2"/>
        <v>80</v>
      </c>
      <c r="AL8" s="5">
        <f t="shared" si="2"/>
        <v>80</v>
      </c>
      <c r="AM8" s="5">
        <f t="shared" si="2"/>
        <v>80</v>
      </c>
      <c r="AN8" s="5">
        <f t="shared" ref="AN8:AO8" si="3">AN5-AN6+AN7</f>
        <v>80</v>
      </c>
      <c r="AO8" s="5">
        <f t="shared" si="3"/>
        <v>80</v>
      </c>
      <c r="AP8" s="5">
        <f t="shared" ref="AP8:AQ8" si="4">AP5-AP6+AP7</f>
        <v>80</v>
      </c>
      <c r="AQ8" s="5">
        <f t="shared" si="4"/>
        <v>80</v>
      </c>
      <c r="AR8" s="5">
        <f t="shared" ref="AR8:AS8" si="5">AR5-AR6+AR7</f>
        <v>80</v>
      </c>
      <c r="AS8" s="5">
        <f t="shared" si="5"/>
        <v>80</v>
      </c>
      <c r="AT8" s="5">
        <f t="shared" ref="AT8:AU8" si="6">AT5-AT6+AT7</f>
        <v>80</v>
      </c>
      <c r="AU8" s="5">
        <f t="shared" si="6"/>
        <v>80</v>
      </c>
    </row>
    <row r="9" spans="1:47">
      <c r="B9"/>
      <c r="C9"/>
      <c r="V9" s="1"/>
    </row>
    <row r="10" spans="1:47" ht="20.25" thickBot="1">
      <c r="A10" s="9" t="s">
        <v>23</v>
      </c>
      <c r="B10"/>
      <c r="C10"/>
    </row>
    <row r="11" spans="1:47" ht="18" thickBot="1">
      <c r="A11" s="27" t="s">
        <v>69</v>
      </c>
      <c r="B11" s="27" t="s">
        <v>2</v>
      </c>
      <c r="C11" s="31" t="s">
        <v>24</v>
      </c>
      <c r="D11" s="32" t="s">
        <v>25</v>
      </c>
    </row>
    <row r="12" spans="1:47" s="14" customFormat="1">
      <c r="A12" s="10" t="s">
        <v>3</v>
      </c>
      <c r="B12" s="11" t="s">
        <v>20</v>
      </c>
      <c r="C12" s="73">
        <v>7</v>
      </c>
      <c r="D12" s="12" t="s">
        <v>108</v>
      </c>
    </row>
    <row r="13" spans="1:47" s="14" customFormat="1">
      <c r="A13" s="13" t="s">
        <v>5</v>
      </c>
      <c r="B13" s="11" t="s">
        <v>20</v>
      </c>
      <c r="C13" s="73">
        <v>1</v>
      </c>
      <c r="D13" s="12" t="s">
        <v>109</v>
      </c>
    </row>
  </sheetData>
  <phoneticPr fontId="2" type="noConversion"/>
  <conditionalFormatting sqref="B12:B1048576">
    <cfRule type="cellIs" dxfId="1" priority="1" operator="equal">
      <formula>"감소"</formula>
    </cfRule>
    <cfRule type="cellIs" dxfId="0" priority="2" operator="equal">
      <formula>"증가"</formula>
    </cfRule>
  </conditionalFormatting>
  <dataValidations count="1">
    <dataValidation type="list" allowBlank="1" showInputMessage="1" showErrorMessage="1" sqref="B12:B1048576" xr:uid="{00000000-0002-0000-05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은행</vt:lpstr>
      <vt:lpstr>금융투자</vt:lpstr>
      <vt:lpstr>종금</vt:lpstr>
      <vt:lpstr>생명보험</vt:lpstr>
      <vt:lpstr>손해보험</vt:lpstr>
      <vt:lpstr>저축은행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kdic</dc:creator>
  <cp:lastModifiedBy>kdic</cp:lastModifiedBy>
  <cp:lastPrinted>2021-09-08T05:59:03Z</cp:lastPrinted>
  <dcterms:created xsi:type="dcterms:W3CDTF">2021-07-07T23:32:23Z</dcterms:created>
  <dcterms:modified xsi:type="dcterms:W3CDTF">2026-04-16T01:28:01Z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MzM5IiwibG9nVGltZSI6IjIwMjUtMDctMDRUMDI6MDY6MDlaIiwicElEIjoxLCJwcm9jZXNzSWQiOjExNTA5NiwicHJvY2Vzc05hbWUiOiJFWENFTC5FWEUiLCJ0cmFjZUlkIjoiREQxNzBCRDhBNTM5NEFEM0EwMjA2NTEyN0IyNDE1RUYiLCJ1c2VyQ29kZSI6IjIyMjQwMzMifSwibm9kZTIiOnsiZHNkIjoiMDEwMDAwMDAwMDAwMTMzOSIsImxvZ1RpbWUiOiIyMDI1LTA3LTA5VDAyOjA1OjM5WiIsInBJRCI6MSwicHJvY2Vzc0lkIjoxMTUwOTYsInByb2Nlc3NOYW1lIjoiRVhDRUwuRVhFIiwidHJhY2VJZCI6IjM4QkYwMURGNzRCMjQ4Q0Q4MzM2QjlFN0NFMkU4NzEwIiwidXNlckNvZGUiOiIyMjI0MDMzIn0sIm5vZGUzIjp7ImRzZCI6IjAxMDAwMDAwMDAwMDEzMzkiLCJsb2dUaW1lIjoiMjAyNS0wNy0xN1QwMToxMToyMloiLCJwSUQiOjEsInByb2Nlc3NJZCI6MTE1MDk2LCJwcm9jZXNzTmFtZSI6IkVYQ0VMLkVYRSIsInRyYWNlSWQiOiIwMzZGQkIwRjRFRjQ0MzkxQTg3OTJBMUQ5NkRDMTRGNyIsInVzZXJDb2RlIjoiMjIyNDAzMyJ9LCJub2RlNCI6eyJkc2QiOiIwMTAwMDAwMDAwMDAxMzM5IiwibG9nVGltZSI6IjIwMjUtMTAtMTNUMDA6NDU6NThaIiwicElEIjoxLCJwcm9jZXNzSWQiOjExNTA5NiwicHJvY2Vzc05hbWUiOiJFWENFTC5FWEUiLCJ0cmFjZUlkIjoiRjI5NEJDMkFCRjE3NEFDRkJGNUQ1QzExNTUyM0JBNzUiLCJ1c2VyQ29kZSI6IjIyMjQwMzMifSwibm9kZTUiOnsiZHNkIjoiMDAwMDAwMDAwMDAwMDAwMCIsImxvZ1RpbWUiOiIyMDI1LTEwLTE0VDA0OjE5OjQ4WiIsInBJRCI6MjA0OCwicHJvY2Vzc0lkIjoyOTIzMiwicHJvY2Vzc05hbWUiOiJFWENFTC5FWEUiLCJ0cmFjZUlkIjoiQjgxMjlBQkIxNDkwNDMxNTk3MjU0MDMzM0RDQUYwQTYiLCJ1c2VyQ29kZSI6IjIyMjQwMzMifSwibm9kZUNvdW50Ijo1LCJyb290VHJhY2VJZCI6IkREMTcwQkQ4QTUzOTRBRDNBMDIwNjUxMjdCMjQxNUVGIn0=</vt:lpwstr>
  </property>
</Properties>
</file>